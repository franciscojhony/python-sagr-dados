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npj" sheetId="1" state="visible" r:id="rId3"/>
    <sheet name="sisgi" sheetId="2" state="visible" r:id="rId4"/>
    <sheet name="sisgi_cnpj" sheetId="3" state="visible" r:id="rId5"/>
  </sheets>
  <definedNames>
    <definedName function="false" hidden="true" localSheetId="0" name="_xlnm._FilterDatabase" vbProcedure="false">cnpj!$A$1:$B$1602</definedName>
    <definedName function="false" hidden="true" localSheetId="1" name="_xlnm._FilterDatabase" vbProcedure="false">sisgi!$A$1:$A$645</definedName>
    <definedName function="false" hidden="true" localSheetId="2" name="_xlnm._FilterDatabase" vbProcedure="false">sisgi_cnpj!$A$1:$E$645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<sst xmlns="http://schemas.openxmlformats.org/spreadsheetml/2006/main" count="719" uniqueCount="693">
  <si>
    <t xml:space="preserve">Cod_Lotação</t>
  </si>
  <si>
    <t xml:space="preserve">CNPJ</t>
  </si>
  <si>
    <t xml:space="preserve">02.455.519/0001-90</t>
  </si>
  <si>
    <t xml:space="preserve">03.049.222/0001-97</t>
  </si>
  <si>
    <t xml:space="preserve">02.010.853/0001-30</t>
  </si>
  <si>
    <t xml:space="preserve">01.939.513/0001-25</t>
  </si>
  <si>
    <t xml:space="preserve">02.517.515/0001-99</t>
  </si>
  <si>
    <t xml:space="preserve">02.315.622/0001-34</t>
  </si>
  <si>
    <t xml:space="preserve">03.358.621/0001-30</t>
  </si>
  <si>
    <t xml:space="preserve">01.967.817/0001-04</t>
  </si>
  <si>
    <t xml:space="preserve">03.087.642/0001-68</t>
  </si>
  <si>
    <t xml:space="preserve">03.597.780/0001-97</t>
  </si>
  <si>
    <t xml:space="preserve">03.295.686/0001-83</t>
  </si>
  <si>
    <t xml:space="preserve">01.586.615/0001-04</t>
  </si>
  <si>
    <t xml:space="preserve">03.159.021/0001-42</t>
  </si>
  <si>
    <t xml:space="preserve">02225544/0001/87</t>
  </si>
  <si>
    <t xml:space="preserve">03.165.188/0001-16</t>
  </si>
  <si>
    <t xml:space="preserve">02.051.792/0001-59</t>
  </si>
  <si>
    <t xml:space="preserve">02.443.825/0001-06</t>
  </si>
  <si>
    <t xml:space="preserve">02.010.854/0001-84</t>
  </si>
  <si>
    <t xml:space="preserve">01.606.944/0001-70</t>
  </si>
  <si>
    <t xml:space="preserve">02.471.496/0001-07</t>
  </si>
  <si>
    <t xml:space="preserve">03.159.030/0001-33</t>
  </si>
  <si>
    <t xml:space="preserve">01.944.536/0001-28</t>
  </si>
  <si>
    <t xml:space="preserve">14.925.622/0001-35</t>
  </si>
  <si>
    <t xml:space="preserve">03.146.565/0001-70</t>
  </si>
  <si>
    <t xml:space="preserve">02.493.957/0001-42</t>
  </si>
  <si>
    <t xml:space="preserve">02.274.833/0001-76</t>
  </si>
  <si>
    <t xml:space="preserve">03.225.549/0001-72</t>
  </si>
  <si>
    <t xml:space="preserve">02.030.988/0001-67</t>
  </si>
  <si>
    <t xml:space="preserve">03.186.262/0001-80</t>
  </si>
  <si>
    <t xml:space="preserve">02.362.443/0001-58</t>
  </si>
  <si>
    <t xml:space="preserve">02.039.556/0001-17</t>
  </si>
  <si>
    <t xml:space="preserve">01.944.531/0001-03</t>
  </si>
  <si>
    <t xml:space="preserve">01.967.820/0001-10</t>
  </si>
  <si>
    <t xml:space="preserve">01.431.001/0001-53</t>
  </si>
  <si>
    <t xml:space="preserve">01.939.381/0001-31</t>
  </si>
  <si>
    <t xml:space="preserve">01.819.049/0001-33</t>
  </si>
  <si>
    <t xml:space="preserve">02.587.001/0001-00</t>
  </si>
  <si>
    <t xml:space="preserve">03.894.364/0001-50</t>
  </si>
  <si>
    <t xml:space="preserve">02.509.704/0001-10</t>
  </si>
  <si>
    <t xml:space="preserve">02.921.362/0001-40</t>
  </si>
  <si>
    <t xml:space="preserve">03.271.923/0001-76</t>
  </si>
  <si>
    <t xml:space="preserve">03.164.227/0001-60</t>
  </si>
  <si>
    <t xml:space="preserve">03.324.133/0001-01</t>
  </si>
  <si>
    <t xml:space="preserve">02.861.134/0001-22</t>
  </si>
  <si>
    <t xml:space="preserve">03.556.851/0001-03</t>
  </si>
  <si>
    <t xml:space="preserve">03.136.943/0001-34</t>
  </si>
  <si>
    <t xml:space="preserve">06.139.645/0001-96</t>
  </si>
  <si>
    <t xml:space="preserve">03.143.478/0001-69</t>
  </si>
  <si>
    <t xml:space="preserve">06.147.083/0001-22</t>
  </si>
  <si>
    <t xml:space="preserve">03.133.693/0001-89</t>
  </si>
  <si>
    <t xml:space="preserve">03.997.507/0001-50</t>
  </si>
  <si>
    <t xml:space="preserve">02.039.557/0001-61</t>
  </si>
  <si>
    <t xml:space="preserve">01.546.012/0001-89</t>
  </si>
  <si>
    <t xml:space="preserve">01.426.353/0001-10</t>
  </si>
  <si>
    <t xml:space="preserve">01.421.013/0001-05</t>
  </si>
  <si>
    <t xml:space="preserve">01.712.228/0001-77</t>
  </si>
  <si>
    <t xml:space="preserve">07.876.255/0001-61</t>
  </si>
  <si>
    <t xml:space="preserve">03.945.490/0001-97</t>
  </si>
  <si>
    <t xml:space="preserve">07.426.510/0001-74</t>
  </si>
  <si>
    <t xml:space="preserve">07.876.354/0001-43</t>
  </si>
  <si>
    <t xml:space="preserve">15.032.139/0001-94</t>
  </si>
  <si>
    <t xml:space="preserve">01.124.735/0001-90</t>
  </si>
  <si>
    <t xml:space="preserve">02.954.350/0001-12</t>
  </si>
  <si>
    <t xml:space="preserve">01.644.508/0001-95</t>
  </si>
  <si>
    <t xml:space="preserve">06.901.100/0001-75</t>
  </si>
  <si>
    <t xml:space="preserve">02.697.439/0001-40</t>
  </si>
  <si>
    <t xml:space="preserve">07.518.670/0001-43</t>
  </si>
  <si>
    <t xml:space="preserve">01.366.137/0001-27</t>
  </si>
  <si>
    <t xml:space="preserve">03.012.639/0001-85</t>
  </si>
  <si>
    <t xml:space="preserve">03.113.863/0001-63</t>
  </si>
  <si>
    <t xml:space="preserve">01.930.534/0001-80</t>
  </si>
  <si>
    <t xml:space="preserve">016338480001-10</t>
  </si>
  <si>
    <t xml:space="preserve">01.609.237/0001-37</t>
  </si>
  <si>
    <t xml:space="preserve">01.641.146/0001-89</t>
  </si>
  <si>
    <t xml:space="preserve">07.891.083/0001-03</t>
  </si>
  <si>
    <t xml:space="preserve">02.229.699/0001-91</t>
  </si>
  <si>
    <t xml:space="preserve">01.665.130/0001-06</t>
  </si>
  <si>
    <t xml:space="preserve">15.032.360/0001-42</t>
  </si>
  <si>
    <t xml:space="preserve">02.572.438/0001-70</t>
  </si>
  <si>
    <t xml:space="preserve">02.257.149/0001-86</t>
  </si>
  <si>
    <t xml:space="preserve">03.105.167/0001-05</t>
  </si>
  <si>
    <t xml:space="preserve">01.620.453/0001-83</t>
  </si>
  <si>
    <t xml:space="preserve">01.617.464/0001-04</t>
  </si>
  <si>
    <t xml:space="preserve">01.685.264/0001-99</t>
  </si>
  <si>
    <t xml:space="preserve">02.473.763/0001-85</t>
  </si>
  <si>
    <t xml:space="preserve">02.328.823/0001-76</t>
  </si>
  <si>
    <t xml:space="preserve">02.030.071/0001-62</t>
  </si>
  <si>
    <t xml:space="preserve">02.030.069/0001-93</t>
  </si>
  <si>
    <t xml:space="preserve">01.609.157/0001-81</t>
  </si>
  <si>
    <t xml:space="preserve">01.568.151/0001-03</t>
  </si>
  <si>
    <t xml:space="preserve">02.981.095/0001-05</t>
  </si>
  <si>
    <t xml:space="preserve">01.556.351/0001-46</t>
  </si>
  <si>
    <t xml:space="preserve">01.986.533/0001-57</t>
  </si>
  <si>
    <t xml:space="preserve">14.951.016/0001-94</t>
  </si>
  <si>
    <t xml:space="preserve">01.590.243/0001-90</t>
  </si>
  <si>
    <t xml:space="preserve">02.382.394/0001-15</t>
  </si>
  <si>
    <t xml:space="preserve">04.539.373/0001-96</t>
  </si>
  <si>
    <t xml:space="preserve">03.799.363/0001-27</t>
  </si>
  <si>
    <t xml:space="preserve">01.956.030/0001-39</t>
  </si>
  <si>
    <t xml:space="preserve">01.956.024/0001-81</t>
  </si>
  <si>
    <t xml:space="preserve">01.981.949/0001-82</t>
  </si>
  <si>
    <t xml:space="preserve">02.123.902/0001-40</t>
  </si>
  <si>
    <t xml:space="preserve">01.986.119/0001-48</t>
  </si>
  <si>
    <t xml:space="preserve">01.922.890/0001-51</t>
  </si>
  <si>
    <t xml:space="preserve">01.922.878/0001-47</t>
  </si>
  <si>
    <t xml:space="preserve">03.173.542/0001-54</t>
  </si>
  <si>
    <t xml:space="preserve">040827970001/74</t>
  </si>
  <si>
    <t xml:space="preserve">01.978.122/0001-10</t>
  </si>
  <si>
    <t xml:space="preserve">01.641.304/0001-09</t>
  </si>
  <si>
    <t xml:space="preserve">03.306.703/0001-30</t>
  </si>
  <si>
    <t xml:space="preserve">02.177.692/0001-73</t>
  </si>
  <si>
    <t xml:space="preserve">02.421.184/0001-99</t>
  </si>
  <si>
    <t xml:space="preserve">02.042.784/0001-46</t>
  </si>
  <si>
    <t xml:space="preserve">02.012.741/0001-18</t>
  </si>
  <si>
    <t xml:space="preserve">03.573.224/0001-80</t>
  </si>
  <si>
    <t xml:space="preserve">02.791.360/0001-84</t>
  </si>
  <si>
    <t xml:space="preserve">03.185.056/0001-56</t>
  </si>
  <si>
    <t xml:space="preserve">03.133.674/0001-52</t>
  </si>
  <si>
    <t xml:space="preserve">03.149.386/0001-96</t>
  </si>
  <si>
    <t xml:space="preserve">04.665.726/0001-02</t>
  </si>
  <si>
    <t xml:space="preserve">02.039.558/0001-06</t>
  </si>
  <si>
    <t xml:space="preserve">03.202.004/0001-40</t>
  </si>
  <si>
    <t xml:space="preserve">03.047.023/0001-40</t>
  </si>
  <si>
    <t xml:space="preserve">03.149.369/0001-59</t>
  </si>
  <si>
    <t xml:space="preserve">02.402.836/0001-48</t>
  </si>
  <si>
    <t xml:space="preserve">02.010.872/0001-66</t>
  </si>
  <si>
    <t xml:space="preserve">03.028.106/0001-91</t>
  </si>
  <si>
    <t xml:space="preserve">02.042.783/0001-00</t>
  </si>
  <si>
    <t xml:space="preserve">02.074.021/0001-87</t>
  </si>
  <si>
    <t xml:space="preserve">02.031.081/0001-12</t>
  </si>
  <si>
    <t xml:space="preserve">02.554.347/0001-01</t>
  </si>
  <si>
    <t xml:space="preserve">03.178.543/0001-91</t>
  </si>
  <si>
    <t xml:space="preserve">03.207.344/0001-64</t>
  </si>
  <si>
    <t xml:space="preserve">02.498.082/0001-71</t>
  </si>
  <si>
    <t xml:space="preserve">03.149.590/0001-07</t>
  </si>
  <si>
    <t xml:space="preserve">01.578.056/0001-90</t>
  </si>
  <si>
    <t xml:space="preserve">05.327.231/0001-28</t>
  </si>
  <si>
    <t xml:space="preserve">02.471.499/0001-40</t>
  </si>
  <si>
    <t xml:space="preserve">02.484.867/0001-95</t>
  </si>
  <si>
    <t xml:space="preserve">01.958.474/0001-03</t>
  </si>
  <si>
    <t xml:space="preserve">02.165.968/0001-01</t>
  </si>
  <si>
    <t xml:space="preserve">02.006.239/0001-02</t>
  </si>
  <si>
    <t xml:space="preserve">02.283.817/0001-40</t>
  </si>
  <si>
    <t xml:space="preserve">02.558.838/0001-20</t>
  </si>
  <si>
    <t xml:space="preserve">03.236.726/0001-16</t>
  </si>
  <si>
    <t xml:space="preserve">02.494.149/0001-08</t>
  </si>
  <si>
    <t xml:space="preserve">03.173.281/0001-72</t>
  </si>
  <si>
    <t xml:space="preserve">04.197.258/0001-80</t>
  </si>
  <si>
    <t xml:space="preserve">03.409.255/0001-09</t>
  </si>
  <si>
    <t xml:space="preserve">01.552.921/0001-20</t>
  </si>
  <si>
    <t xml:space="preserve">01.552.922/0001-74</t>
  </si>
  <si>
    <t xml:space="preserve">01.898.664/0001-82</t>
  </si>
  <si>
    <t xml:space="preserve">01.561.322/0001-72</t>
  </si>
  <si>
    <t xml:space="preserve">01.556.350/0001-00</t>
  </si>
  <si>
    <t xml:space="preserve">01.544.359/0001-92</t>
  </si>
  <si>
    <t xml:space="preserve">00.791.053/0001-78</t>
  </si>
  <si>
    <t xml:space="preserve">03.160.612/0001-30</t>
  </si>
  <si>
    <t xml:space="preserve">03.070.697/0001-65</t>
  </si>
  <si>
    <t xml:space="preserve">02.566.839/0001-17</t>
  </si>
  <si>
    <t xml:space="preserve">02.342.429/0001-92</t>
  </si>
  <si>
    <t xml:space="preserve">02.342.428/0001-48</t>
  </si>
  <si>
    <t xml:space="preserve">01.868.119/0001-43</t>
  </si>
  <si>
    <t xml:space="preserve">01.592.123/0001-21</t>
  </si>
  <si>
    <t xml:space="preserve">07.846.939/0001-10</t>
  </si>
  <si>
    <t xml:space="preserve">01.796.191/0001-02</t>
  </si>
  <si>
    <t xml:space="preserve">01.971.677/0001-30</t>
  </si>
  <si>
    <t xml:space="preserve">01.981.167/0001-43</t>
  </si>
  <si>
    <t xml:space="preserve">01.609.238/0001-81</t>
  </si>
  <si>
    <t xml:space="preserve">03.741.945/0001-52</t>
  </si>
  <si>
    <t xml:space="preserve">02.025.168/0001-87</t>
  </si>
  <si>
    <t xml:space="preserve">02.035.898/0001-69</t>
  </si>
  <si>
    <t xml:space="preserve">02.158.613/0001-87</t>
  </si>
  <si>
    <t xml:space="preserve">02.010.865/0001-64</t>
  </si>
  <si>
    <t xml:space="preserve">01.328.012/0001-02</t>
  </si>
  <si>
    <t xml:space="preserve">01.940.359/0001-01</t>
  </si>
  <si>
    <t xml:space="preserve">01.939.514/0001-70</t>
  </si>
  <si>
    <t xml:space="preserve">01.940.379/0001-82</t>
  </si>
  <si>
    <t xml:space="preserve">01.921.633/0001-03</t>
  </si>
  <si>
    <t xml:space="preserve">01.675.056/0001-09</t>
  </si>
  <si>
    <t xml:space="preserve">02.021.534/0001-20</t>
  </si>
  <si>
    <t xml:space="preserve">01.936.978/0001-22</t>
  </si>
  <si>
    <t xml:space="preserve">01.568.144/0001-01</t>
  </si>
  <si>
    <t xml:space="preserve">01.395.681/0001-05</t>
  </si>
  <si>
    <t xml:space="preserve">01.558.327/0001-46</t>
  </si>
  <si>
    <t xml:space="preserve">01.395.677/0001-39</t>
  </si>
  <si>
    <t xml:space="preserve">01.403.545/0001-01</t>
  </si>
  <si>
    <t xml:space="preserve">01.559.041/0001-85</t>
  </si>
  <si>
    <t xml:space="preserve">01.395.687/0001-74</t>
  </si>
  <si>
    <t xml:space="preserve">01.550.448/0001-41</t>
  </si>
  <si>
    <t xml:space="preserve">01.395.683/0001-96</t>
  </si>
  <si>
    <t xml:space="preserve">03.229.796/0001-47</t>
  </si>
  <si>
    <t xml:space="preserve">01.491.853/0001-36</t>
  </si>
  <si>
    <t xml:space="preserve">01.526.299/0001-85</t>
  </si>
  <si>
    <t xml:space="preserve">01.702.177/0001-00</t>
  </si>
  <si>
    <t xml:space="preserve">01.609.147/0001-46</t>
  </si>
  <si>
    <t xml:space="preserve">01.552.589/0001-01</t>
  </si>
  <si>
    <t xml:space="preserve">01.624.172/0001-07</t>
  </si>
  <si>
    <t xml:space="preserve">02.105.754/0001-31</t>
  </si>
  <si>
    <t xml:space="preserve">01.970.247/0001-01</t>
  </si>
  <si>
    <t xml:space="preserve">01.931.547/0001-73</t>
  </si>
  <si>
    <t xml:space="preserve">02.531.418/0001-50</t>
  </si>
  <si>
    <t xml:space="preserve">01.309.915/0001-46</t>
  </si>
  <si>
    <t xml:space="preserve">02.238.462/0001-77</t>
  </si>
  <si>
    <t xml:space="preserve">01.955.275/0001-41</t>
  </si>
  <si>
    <t xml:space="preserve">02.507.086/0001-79</t>
  </si>
  <si>
    <t xml:space="preserve">01.909.103/0001-31</t>
  </si>
  <si>
    <t xml:space="preserve">02.735.958/0001-56</t>
  </si>
  <si>
    <t xml:space="preserve">01.955.276/0001-96</t>
  </si>
  <si>
    <t xml:space="preserve">03.861.225/0001-20</t>
  </si>
  <si>
    <t xml:space="preserve">03.689.395/0001-70</t>
  </si>
  <si>
    <t xml:space="preserve">03.150.450/0001-59</t>
  </si>
  <si>
    <t xml:space="preserve">02.399.812/0001-87</t>
  </si>
  <si>
    <t xml:space="preserve">02.495.965/0001-28</t>
  </si>
  <si>
    <t xml:space="preserve">03.175.218/0001-75</t>
  </si>
  <si>
    <t xml:space="preserve">03.175.206/0001-40</t>
  </si>
  <si>
    <t xml:space="preserve">03.161.868/0001-61</t>
  </si>
  <si>
    <t xml:space="preserve">02.068.316/0001-40</t>
  </si>
  <si>
    <t xml:space="preserve">03.121.680/0001-90</t>
  </si>
  <si>
    <t xml:space="preserve">03.253.105/0001-40</t>
  </si>
  <si>
    <t xml:space="preserve">01.832.842/0001-72</t>
  </si>
  <si>
    <t xml:space="preserve">01.940.338/0001-96</t>
  </si>
  <si>
    <t xml:space="preserve">01.940.350/0001-09</t>
  </si>
  <si>
    <t xml:space="preserve">01.940.933/0001-21</t>
  </si>
  <si>
    <t xml:space="preserve">01.678.326/0001-35</t>
  </si>
  <si>
    <t xml:space="preserve">03.245.426/0001-01</t>
  </si>
  <si>
    <t xml:space="preserve">03.092.245/0001-84</t>
  </si>
  <si>
    <t xml:space="preserve">01.596.387/0001-53</t>
  </si>
  <si>
    <t xml:space="preserve">01.564.923/0001-39</t>
  </si>
  <si>
    <t xml:space="preserve">03.193.529/0001-67</t>
  </si>
  <si>
    <t xml:space="preserve">03.269.038/0001-52</t>
  </si>
  <si>
    <t xml:space="preserve">02.002.567/0001-22</t>
  </si>
  <si>
    <t xml:space="preserve">03.124.495/0001-59</t>
  </si>
  <si>
    <t xml:space="preserve">02.031.682/0001-25</t>
  </si>
  <si>
    <t xml:space="preserve">03.802.986/0001-01</t>
  </si>
  <si>
    <t xml:space="preserve">03.498.247/0001-78</t>
  </si>
  <si>
    <t xml:space="preserve">32.971.160/0001-74</t>
  </si>
  <si>
    <t xml:space="preserve">32.970.634/0001-63</t>
  </si>
  <si>
    <t xml:space="preserve">02.595.020/0001-88</t>
  </si>
  <si>
    <t xml:space="preserve">02.509.142/0001-04</t>
  </si>
  <si>
    <t xml:space="preserve">02.506.852/0001-80</t>
  </si>
  <si>
    <t xml:space="preserve">01.491.846/0001-34</t>
  </si>
  <si>
    <t xml:space="preserve">02.508.601/0001-35</t>
  </si>
  <si>
    <t xml:space="preserve">02.412.630/0001-07</t>
  </si>
  <si>
    <t xml:space="preserve">02.350.095/0001-07</t>
  </si>
  <si>
    <t xml:space="preserve">01.885.393/0001-20</t>
  </si>
  <si>
    <t xml:space="preserve">02.042.787/0001-80</t>
  </si>
  <si>
    <t xml:space="preserve">02.241.342/0001-29</t>
  </si>
  <si>
    <t xml:space="preserve">01.944.565/0001-90</t>
  </si>
  <si>
    <t xml:space="preserve">03.185.230/0001-60</t>
  </si>
  <si>
    <t xml:space="preserve">01.971.675/0001-40</t>
  </si>
  <si>
    <t xml:space="preserve">02.010.869/0001-42</t>
  </si>
  <si>
    <t xml:space="preserve">03.143.434/0001-39</t>
  </si>
  <si>
    <t xml:space="preserve">06.916.200/0001-75</t>
  </si>
  <si>
    <t xml:space="preserve">33.003.575/0001-17</t>
  </si>
  <si>
    <t xml:space="preserve">01.999.993/0001-10</t>
  </si>
  <si>
    <t xml:space="preserve">02.630.610/0001-02</t>
  </si>
  <si>
    <t xml:space="preserve">01.568.407/0001-82</t>
  </si>
  <si>
    <t xml:space="preserve">01.912.869/0001-75</t>
  </si>
  <si>
    <t xml:space="preserve">03.643.780/0001-86</t>
  </si>
  <si>
    <t xml:space="preserve">00.177.303/0001-84</t>
  </si>
  <si>
    <t xml:space="preserve">02.682.050/0001-21</t>
  </si>
  <si>
    <t xml:space="preserve">01.974.658/0001-67</t>
  </si>
  <si>
    <t xml:space="preserve">02.031.082/0001-67</t>
  </si>
  <si>
    <t xml:space="preserve">02723653/0001-24</t>
  </si>
  <si>
    <t xml:space="preserve">02.754.632/0001-76</t>
  </si>
  <si>
    <t xml:space="preserve">02.614.986/0001-15</t>
  </si>
  <si>
    <t xml:space="preserve">01.484.929/0001-04</t>
  </si>
  <si>
    <t xml:space="preserve">01.484.931/0001-75</t>
  </si>
  <si>
    <t xml:space="preserve">01.424.682/0001-22</t>
  </si>
  <si>
    <t xml:space="preserve">01.556.348/0001-22</t>
  </si>
  <si>
    <t xml:space="preserve">01.772.790/0001-96</t>
  </si>
  <si>
    <t xml:space="preserve">01.885.348/0001-76</t>
  </si>
  <si>
    <t xml:space="preserve">14.952.931/0001-02</t>
  </si>
  <si>
    <t xml:space="preserve">01.534.166/0001-50</t>
  </si>
  <si>
    <t xml:space="preserve">01.955.272/0001-08</t>
  </si>
  <si>
    <t xml:space="preserve">01.552.919/0001-50</t>
  </si>
  <si>
    <t xml:space="preserve">01.572.923/0001-80</t>
  </si>
  <si>
    <t xml:space="preserve">01.812.406/0001-31</t>
  </si>
  <si>
    <t xml:space="preserve">01.544.336/0001-88</t>
  </si>
  <si>
    <t xml:space="preserve">01.552.917/0001-61</t>
  </si>
  <si>
    <t xml:space="preserve">03.711.646/0001-75</t>
  </si>
  <si>
    <t xml:space="preserve">02.010.868/0001-06</t>
  </si>
  <si>
    <t xml:space="preserve">02.010.867/0001-53</t>
  </si>
  <si>
    <t xml:space="preserve">03.073.321/0001-04</t>
  </si>
  <si>
    <t xml:space="preserve">03.643.023/0001-02</t>
  </si>
  <si>
    <t xml:space="preserve">01.918.268/0001-70</t>
  </si>
  <si>
    <t xml:space="preserve">01.940.334/0001-08</t>
  </si>
  <si>
    <t xml:space="preserve">02.081.088/0001-49</t>
  </si>
  <si>
    <t xml:space="preserve">01.350.294/0001-44</t>
  </si>
  <si>
    <t xml:space="preserve">01.347.952/0001-49</t>
  </si>
  <si>
    <t xml:space="preserve">01.347.959/0001-60</t>
  </si>
  <si>
    <t xml:space="preserve">01.347.956/0001-27</t>
  </si>
  <si>
    <t xml:space="preserve">01.454.413/0001-09</t>
  </si>
  <si>
    <t xml:space="preserve">01.325.669/0001-16</t>
  </si>
  <si>
    <t xml:space="preserve">01.568.410/0001-04</t>
  </si>
  <si>
    <t xml:space="preserve">01.609.143/0001-68</t>
  </si>
  <si>
    <t xml:space="preserve">01.463.907/0001-50</t>
  </si>
  <si>
    <t xml:space="preserve">07.328.621/0001-48</t>
  </si>
  <si>
    <t xml:space="preserve">06.197.210/0001-06</t>
  </si>
  <si>
    <t xml:space="preserve">03.182.552/0001-56</t>
  </si>
  <si>
    <t xml:space="preserve">04.139.343/0001-92</t>
  </si>
  <si>
    <t xml:space="preserve">01.884.340/0001-95</t>
  </si>
  <si>
    <t xml:space="preserve">06.208.303/0001-80</t>
  </si>
  <si>
    <t xml:space="preserve">02.082.728/0001-35</t>
  </si>
  <si>
    <t xml:space="preserve">02.637.535/0001-01</t>
  </si>
  <si>
    <t xml:space="preserve">03.927.415/0001-01</t>
  </si>
  <si>
    <t xml:space="preserve">02.608.135/0001-60</t>
  </si>
  <si>
    <t xml:space="preserve">02.506.865/0001-50</t>
  </si>
  <si>
    <t xml:space="preserve">03.225.303/0001-09</t>
  </si>
  <si>
    <t xml:space="preserve">03.225.306/0001-34</t>
  </si>
  <si>
    <t xml:space="preserve">01.962.228/0001-25</t>
  </si>
  <si>
    <t xml:space="preserve">03.175.473/0001-18</t>
  </si>
  <si>
    <t xml:space="preserve">02.002.125/0001-86</t>
  </si>
  <si>
    <t xml:space="preserve">02.506.872/0001-51</t>
  </si>
  <si>
    <t xml:space="preserve">02.776.067/0001-48</t>
  </si>
  <si>
    <t xml:space="preserve">02.010.870/0001-77</t>
  </si>
  <si>
    <t xml:space="preserve">01.984.739/0001-48</t>
  </si>
  <si>
    <t xml:space="preserve">01.523.050/0001-16</t>
  </si>
  <si>
    <t xml:space="preserve">07.026.390/0001-18</t>
  </si>
  <si>
    <t xml:space="preserve">06.066.416/0001-99</t>
  </si>
  <si>
    <t xml:space="preserve">01.565.870/0001-70</t>
  </si>
  <si>
    <t xml:space="preserve">01.549.871/0001-21</t>
  </si>
  <si>
    <t xml:space="preserve">01.549.869/0001-52</t>
  </si>
  <si>
    <t xml:space="preserve">02.027.853/0001-42</t>
  </si>
  <si>
    <t xml:space="preserve">01.717.753/0001-85</t>
  </si>
  <si>
    <t xml:space="preserve">02.021.535/0001-74</t>
  </si>
  <si>
    <t xml:space="preserve">02.021.536/0001-19</t>
  </si>
  <si>
    <t xml:space="preserve">02.027.856/0001-86</t>
  </si>
  <si>
    <t xml:space="preserve">02.547.466/0001-37</t>
  </si>
  <si>
    <t xml:space="preserve">01.921.632/0001-50</t>
  </si>
  <si>
    <t xml:space="preserve">01.956.022/0001-92</t>
  </si>
  <si>
    <t xml:space="preserve">01.354.483/0001-95</t>
  </si>
  <si>
    <t xml:space="preserve">01.453.443/0001-09</t>
  </si>
  <si>
    <t xml:space="preserve">01.418.780/0001-57</t>
  </si>
  <si>
    <t xml:space="preserve">01.383.170/0001-65</t>
  </si>
  <si>
    <t xml:space="preserve">01.518.384/0001-00</t>
  </si>
  <si>
    <t xml:space="preserve">01.398.463/0001-16</t>
  </si>
  <si>
    <t xml:space="preserve">01.352.216/0001-89</t>
  </si>
  <si>
    <t xml:space="preserve">11.180.466/0001-32</t>
  </si>
  <si>
    <t xml:space="preserve">01.445.727/0001-45</t>
  </si>
  <si>
    <t xml:space="preserve">01.415.932/0001-68</t>
  </si>
  <si>
    <t xml:space="preserve">01.376.049/0001-06</t>
  </si>
  <si>
    <t xml:space="preserve">24.771.768/0001-27</t>
  </si>
  <si>
    <t xml:space="preserve">01.352.218/0001-78</t>
  </si>
  <si>
    <t xml:space="preserve">01.618.633/0001-20</t>
  </si>
  <si>
    <t xml:space="preserve">01.590.244/0001-34</t>
  </si>
  <si>
    <t xml:space="preserve">03.507.415/0008-10</t>
  </si>
  <si>
    <t xml:space="preserve">02.100.413/0001-73</t>
  </si>
  <si>
    <t xml:space="preserve">01.590.241/0001-09</t>
  </si>
  <si>
    <t xml:space="preserve">02.583.866/0001-06</t>
  </si>
  <si>
    <t xml:space="preserve">02.479.615/0001-78</t>
  </si>
  <si>
    <t xml:space="preserve">03.136.749/0001-59</t>
  </si>
  <si>
    <t xml:space="preserve">03.185.673/0001-51</t>
  </si>
  <si>
    <t xml:space="preserve">01.617.465/0001-59</t>
  </si>
  <si>
    <t xml:space="preserve">01.944.567/0001-89</t>
  </si>
  <si>
    <t xml:space="preserve">01.575.582/0001-05</t>
  </si>
  <si>
    <t xml:space="preserve">01.347.955/0001-82</t>
  </si>
  <si>
    <t xml:space="preserve">03.964.573/0001-23</t>
  </si>
  <si>
    <t xml:space="preserve">02.506.868/0001-93</t>
  </si>
  <si>
    <t xml:space="preserve">01.468.877/0001-74</t>
  </si>
  <si>
    <t xml:space="preserve">01.383.171/0001-00</t>
  </si>
  <si>
    <t xml:space="preserve">01.631.888/0001-23</t>
  </si>
  <si>
    <t xml:space="preserve">01.375.826/0001-06</t>
  </si>
  <si>
    <t xml:space="preserve">02.643.746/0001-49</t>
  </si>
  <si>
    <t xml:space="preserve">03.097.662/0001-10</t>
  </si>
  <si>
    <t xml:space="preserve">03.097.282/0001-85</t>
  </si>
  <si>
    <t xml:space="preserve">01.918.263/0001-47</t>
  </si>
  <si>
    <t xml:space="preserve">03.143.326/0001-66</t>
  </si>
  <si>
    <t xml:space="preserve">02.471.495/0001-62</t>
  </si>
  <si>
    <t xml:space="preserve">01.506.610/0001-24</t>
  </si>
  <si>
    <t xml:space="preserve">01.383.169/0001-30</t>
  </si>
  <si>
    <t xml:space="preserve">03.115.082/0001-08</t>
  </si>
  <si>
    <t xml:space="preserve">18.894.208/0001-67</t>
  </si>
  <si>
    <t xml:space="preserve">18696349/0001-75</t>
  </si>
  <si>
    <t xml:space="preserve">18.607.107/0001-68</t>
  </si>
  <si>
    <t xml:space="preserve">18.908.444/0001-95</t>
  </si>
  <si>
    <t xml:space="preserve">19.890.753/0001-48</t>
  </si>
  <si>
    <t xml:space="preserve">18.295.050/0001-09</t>
  </si>
  <si>
    <t xml:space="preserve">18825244/0001-79</t>
  </si>
  <si>
    <t xml:space="preserve">18.859.779/0001-60</t>
  </si>
  <si>
    <t xml:space="preserve">18.599.660/0001-04</t>
  </si>
  <si>
    <t xml:space="preserve">19235941/0001-32</t>
  </si>
  <si>
    <t xml:space="preserve">18529730/0001-40</t>
  </si>
  <si>
    <t xml:space="preserve">19945175/0001-08</t>
  </si>
  <si>
    <t xml:space="preserve">18.667.962/0001-64</t>
  </si>
  <si>
    <t xml:space="preserve">19.099.382/0001-80</t>
  </si>
  <si>
    <t xml:space="preserve">18600693/000119</t>
  </si>
  <si>
    <t xml:space="preserve">19.099.295/0001-23</t>
  </si>
  <si>
    <t xml:space="preserve">19900846/0001-06</t>
  </si>
  <si>
    <t xml:space="preserve">189442120001-92</t>
  </si>
  <si>
    <t xml:space="preserve">20.292.409/0001-36</t>
  </si>
  <si>
    <t xml:space="preserve">20.277.574/0001-19</t>
  </si>
  <si>
    <t xml:space="preserve">18637110/000124</t>
  </si>
  <si>
    <t xml:space="preserve">20205039/000152</t>
  </si>
  <si>
    <t xml:space="preserve">20.284.553/0001-20</t>
  </si>
  <si>
    <t xml:space="preserve">21.776.804/0001-57</t>
  </si>
  <si>
    <t xml:space="preserve">01.528.647/0001-53</t>
  </si>
  <si>
    <t xml:space="preserve">02.006.236/0001-60</t>
  </si>
  <si>
    <t xml:space="preserve">02.232.686/0001-71</t>
  </si>
  <si>
    <t xml:space="preserve">01.609.145/0001-57</t>
  </si>
  <si>
    <t xml:space="preserve">02.491.003/0001-09</t>
  </si>
  <si>
    <t xml:space="preserve">04.515.067/0001-10</t>
  </si>
  <si>
    <t xml:space="preserve">01.331.559/0001-67</t>
  </si>
  <si>
    <t xml:space="preserve">18.453.185/0001-55</t>
  </si>
  <si>
    <t xml:space="preserve">03.124.285/0001-60</t>
  </si>
  <si>
    <t xml:space="preserve">01.581.637/0001-81</t>
  </si>
  <si>
    <t xml:space="preserve">01.398.610/0001-58</t>
  </si>
  <si>
    <t xml:space="preserve">02.266.729/0001-30</t>
  </si>
  <si>
    <t xml:space="preserve">01.657.455/0001-47</t>
  </si>
  <si>
    <t xml:space="preserve">01.682.900/0001-29</t>
  </si>
  <si>
    <t xml:space="preserve">18.676.225/0001-28</t>
  </si>
  <si>
    <t xml:space="preserve">02.381.876/0001-50</t>
  </si>
  <si>
    <t xml:space="preserve">01.348.017/0001-05</t>
  </si>
  <si>
    <t xml:space="preserve">01.347.957/0001-71</t>
  </si>
  <si>
    <t xml:space="preserve">02.274.797/0001-40</t>
  </si>
  <si>
    <t xml:space="preserve">02.531.417/0001-06</t>
  </si>
  <si>
    <t xml:space="preserve">04.416.000/0001-28</t>
  </si>
  <si>
    <t xml:space="preserve">04.350.642/0001-71</t>
  </si>
  <si>
    <t xml:space="preserve">03.157.984/0001-07</t>
  </si>
  <si>
    <t xml:space="preserve">02.516.337/0001-81</t>
  </si>
  <si>
    <t xml:space="preserve">03.777.535/0001-61</t>
  </si>
  <si>
    <t xml:space="preserve">03.030.098/0001-18</t>
  </si>
  <si>
    <t xml:space="preserve">03.222.380/0001-05</t>
  </si>
  <si>
    <t xml:space="preserve">03.789.998/0001-43</t>
  </si>
  <si>
    <t xml:space="preserve">03158670/0001 -29</t>
  </si>
  <si>
    <t xml:space="preserve">20.804.317/0001-98</t>
  </si>
  <si>
    <t xml:space="preserve">24.772.303/0001-90</t>
  </si>
  <si>
    <t xml:space="preserve">04560246/0001-79</t>
  </si>
  <si>
    <t xml:space="preserve">03.733.475/0001-85</t>
  </si>
  <si>
    <t xml:space="preserve">03.821.795/0001-97</t>
  </si>
  <si>
    <t xml:space="preserve">04.261.844/0001-47</t>
  </si>
  <si>
    <t xml:space="preserve">03.997.506/0001-05</t>
  </si>
  <si>
    <t xml:space="preserve">04.423.498/0001-56</t>
  </si>
  <si>
    <t xml:space="preserve">05.556.335/0001-04</t>
  </si>
  <si>
    <t xml:space="preserve">02.964.509/0001-80</t>
  </si>
  <si>
    <t xml:space="preserve">04.362.892/0001-21</t>
  </si>
  <si>
    <t xml:space="preserve">03.145.488/0001-33</t>
  </si>
  <si>
    <t xml:space="preserve">06.308.564/0001-72</t>
  </si>
  <si>
    <t xml:space="preserve">20.250.807/0001-90</t>
  </si>
  <si>
    <t xml:space="preserve">05.729.076/0001-76</t>
  </si>
  <si>
    <t xml:space="preserve">10.848.763/0001-40</t>
  </si>
  <si>
    <t xml:space="preserve">05.255.116/0001-95</t>
  </si>
  <si>
    <t xml:space="preserve">03.267.735/0001-74</t>
  </si>
  <si>
    <t xml:space="preserve">03.267.732/0001-30</t>
  </si>
  <si>
    <t xml:space="preserve">03.267.742/0001-76</t>
  </si>
  <si>
    <t xml:space="preserve">07.600.773/0001-58</t>
  </si>
  <si>
    <t xml:space="preserve">01.843.367/0001-30</t>
  </si>
  <si>
    <t xml:space="preserve">05.284.083/0001-01</t>
  </si>
  <si>
    <t xml:space="preserve">01.956.026/0001-70</t>
  </si>
  <si>
    <t xml:space="preserve">01.584.330/0001-34</t>
  </si>
  <si>
    <t xml:space="preserve">01.939.508/0001-12</t>
  </si>
  <si>
    <t xml:space="preserve">01.567.051/0001-62</t>
  </si>
  <si>
    <t xml:space="preserve">01.425.039/0001-13</t>
  </si>
  <si>
    <t xml:space="preserve">05.163.432/0001-37</t>
  </si>
  <si>
    <t xml:space="preserve">05.145.379/0001-41</t>
  </si>
  <si>
    <t xml:space="preserve">01.664.039/0001-76</t>
  </si>
  <si>
    <t xml:space="preserve">18.588.441/0001-11</t>
  </si>
  <si>
    <t xml:space="preserve">01.781.618/0001-07</t>
  </si>
  <si>
    <t xml:space="preserve">05.395.184/0001-50</t>
  </si>
  <si>
    <t xml:space="preserve">05.558.916/0001-85</t>
  </si>
  <si>
    <t xml:space="preserve">05.812.503/0001-85</t>
  </si>
  <si>
    <t xml:space="preserve">05.599.191/0001-73</t>
  </si>
  <si>
    <t xml:space="preserve">05.403.751/0001-72</t>
  </si>
  <si>
    <t xml:space="preserve">05.585.163/0001-05</t>
  </si>
  <si>
    <t xml:space="preserve">05.665.466/0001-20</t>
  </si>
  <si>
    <t xml:space="preserve">05.689.106/0001-68</t>
  </si>
  <si>
    <t xml:space="preserve">01.939.527/0001-49</t>
  </si>
  <si>
    <t xml:space="preserve">05.535.197/0001-87</t>
  </si>
  <si>
    <t xml:space="preserve">07.344.345/0001-01</t>
  </si>
  <si>
    <t xml:space="preserve">07.520.997/0001-50</t>
  </si>
  <si>
    <t xml:space="preserve">05.980.987/0001-71</t>
  </si>
  <si>
    <t xml:space="preserve">05.808.755/0001-30</t>
  </si>
  <si>
    <t xml:space="preserve">06.974.603/0001-70</t>
  </si>
  <si>
    <t xml:space="preserve">06.019.162/0001-58</t>
  </si>
  <si>
    <t xml:space="preserve">06.192.950/0001-41</t>
  </si>
  <si>
    <t xml:space="preserve">06.294.502/0001-59</t>
  </si>
  <si>
    <t xml:space="preserve">06.935.961/0001-74</t>
  </si>
  <si>
    <t xml:space="preserve">07.580.569/0001-12</t>
  </si>
  <si>
    <t xml:space="preserve">06.321.361/0001-16</t>
  </si>
  <si>
    <t xml:space="preserve">06.230.227/0001-00</t>
  </si>
  <si>
    <t xml:space="preserve">06.926.909/0001-51</t>
  </si>
  <si>
    <t xml:space="preserve">07.473.224/0001-60</t>
  </si>
  <si>
    <t xml:space="preserve">09.013.175/0001-08</t>
  </si>
  <si>
    <t xml:space="preserve">07.478.358/0001-73</t>
  </si>
  <si>
    <t xml:space="preserve">07.368.183/0001-41</t>
  </si>
  <si>
    <t xml:space="preserve">07.508.969/0001-17</t>
  </si>
  <si>
    <t xml:space="preserve">07.561.306/0001-66</t>
  </si>
  <si>
    <t xml:space="preserve">07.272.764/0001-85</t>
  </si>
  <si>
    <t xml:space="preserve">06.306.408/0001-72</t>
  </si>
  <si>
    <t xml:space="preserve">07.536.860/0001-93</t>
  </si>
  <si>
    <t xml:space="preserve">07.447.373/0001-54</t>
  </si>
  <si>
    <t xml:space="preserve">07.438.714/0001-25</t>
  </si>
  <si>
    <t xml:space="preserve">07.982.169/0001-33</t>
  </si>
  <si>
    <t xml:space="preserve">07.771.425/0001-43</t>
  </si>
  <si>
    <t xml:space="preserve">08.296.740/0001-29</t>
  </si>
  <si>
    <t xml:space="preserve">07.894.352/0001-87</t>
  </si>
  <si>
    <t xml:space="preserve">10.194.699/0001-21</t>
  </si>
  <si>
    <t xml:space="preserve">08.512.601/0001-95</t>
  </si>
  <si>
    <t xml:space="preserve">08.240.722/0001-25</t>
  </si>
  <si>
    <t xml:space="preserve">09.252.986/0001-61</t>
  </si>
  <si>
    <t xml:space="preserve">10.175.899/0001-37</t>
  </si>
  <si>
    <t xml:space="preserve">08.833.270/0001-95</t>
  </si>
  <si>
    <t xml:space="preserve">07.965.677/0001-03</t>
  </si>
  <si>
    <t xml:space="preserve">11.360.182/0001-28</t>
  </si>
  <si>
    <t xml:space="preserve">07993994/0001-33</t>
  </si>
  <si>
    <t xml:space="preserve">08.471.570/0001-71</t>
  </si>
  <si>
    <t xml:space="preserve">08.194.018/0001-83</t>
  </si>
  <si>
    <t xml:space="preserve">04.596.640/0001-67</t>
  </si>
  <si>
    <t xml:space="preserve">08.916.037/0001-76</t>
  </si>
  <si>
    <t xml:space="preserve">08.681.586/0001-09</t>
  </si>
  <si>
    <t xml:space="preserve">08.629.238/0001-92</t>
  </si>
  <si>
    <t xml:space="preserve">08.817.624/0001-08</t>
  </si>
  <si>
    <t xml:space="preserve">09.001.974/0001-64</t>
  </si>
  <si>
    <t xml:space="preserve">08.976.596/0001-71</t>
  </si>
  <si>
    <t xml:space="preserve">08.673.240/0001-69</t>
  </si>
  <si>
    <t xml:space="preserve">08.700.330/0001-00</t>
  </si>
  <si>
    <t xml:space="preserve">08.878.966/0001-38</t>
  </si>
  <si>
    <t xml:space="preserve">09.008.215/0001-23</t>
  </si>
  <si>
    <t xml:space="preserve">02.016.112/0001-66</t>
  </si>
  <si>
    <t xml:space="preserve">07.552.594/0001-92</t>
  </si>
  <si>
    <t xml:space="preserve">08.907.332/0001-66</t>
  </si>
  <si>
    <t xml:space="preserve">19.908.949/0001-12 </t>
  </si>
  <si>
    <t xml:space="preserve">05.156.378/0001-00</t>
  </si>
  <si>
    <t xml:space="preserve">08781678/000160</t>
  </si>
  <si>
    <t xml:space="preserve">08.610.196/0001-48</t>
  </si>
  <si>
    <t xml:space="preserve">08.818.699/0001-03</t>
  </si>
  <si>
    <t xml:space="preserve">08.842.876/0001-97</t>
  </si>
  <si>
    <t xml:space="preserve">08.771.030/0001-03</t>
  </si>
  <si>
    <t xml:space="preserve">07.093.262/0001-97</t>
  </si>
  <si>
    <t xml:space="preserve">01.735.668/0001-40</t>
  </si>
  <si>
    <t xml:space="preserve">09.371.050/0001-50</t>
  </si>
  <si>
    <t xml:space="preserve">09.148.775/0001-83</t>
  </si>
  <si>
    <t xml:space="preserve">09.630.261/0001-60</t>
  </si>
  <si>
    <t xml:space="preserve">10.017.571/0001-92</t>
  </si>
  <si>
    <t xml:space="preserve">10.175.901/0001-78</t>
  </si>
  <si>
    <t xml:space="preserve">09.225.448/0001-88</t>
  </si>
  <si>
    <t xml:space="preserve">09.303.647/0001-67</t>
  </si>
  <si>
    <t xml:space="preserve">09.354.397/0001-94</t>
  </si>
  <si>
    <t xml:space="preserve">01.977.823/0001-34</t>
  </si>
  <si>
    <t xml:space="preserve">09.520.368/0001-55</t>
  </si>
  <si>
    <t xml:space="preserve">09.520.394/0001-83</t>
  </si>
  <si>
    <t xml:space="preserve">03.051.905/0001-89</t>
  </si>
  <si>
    <t xml:space="preserve">10.159.535/0001-63</t>
  </si>
  <si>
    <t xml:space="preserve">09.321.974/0001-41</t>
  </si>
  <si>
    <t xml:space="preserve">09.573.126/0001-20</t>
  </si>
  <si>
    <t xml:space="preserve">10.364.873/0001-37</t>
  </si>
  <si>
    <t xml:space="preserve">04.441.057/0001-87</t>
  </si>
  <si>
    <t xml:space="preserve">09.592.782/0001-70</t>
  </si>
  <si>
    <t xml:space="preserve">09.586.436/0001-89</t>
  </si>
  <si>
    <t xml:space="preserve">09.688.779/0001-54</t>
  </si>
  <si>
    <t xml:space="preserve">09.469.590/0001-70</t>
  </si>
  <si>
    <t xml:space="preserve">09.566.286/0001-41</t>
  </si>
  <si>
    <t xml:space="preserve">09.615.165/0001-42</t>
  </si>
  <si>
    <t xml:space="preserve">10.016.443/0001-24</t>
  </si>
  <si>
    <t xml:space="preserve">09.634.738/0001-85</t>
  </si>
  <si>
    <t xml:space="preserve">10.602.557/0001-56</t>
  </si>
  <si>
    <t xml:space="preserve">10.299.581/0001-68</t>
  </si>
  <si>
    <t xml:space="preserve">11.162.323/0001-06</t>
  </si>
  <si>
    <t xml:space="preserve">10.664.430/0001-61</t>
  </si>
  <si>
    <t xml:space="preserve">01.491.849/0001-78</t>
  </si>
  <si>
    <t xml:space="preserve">04.111.980/0001-50</t>
  </si>
  <si>
    <t xml:space="preserve">10.842.297/0001-96</t>
  </si>
  <si>
    <t xml:space="preserve">10.723.758/0001-01</t>
  </si>
  <si>
    <t xml:space="preserve">11.029.783/0001-52</t>
  </si>
  <si>
    <t xml:space="preserve">11.274.314/0001-07</t>
  </si>
  <si>
    <t xml:space="preserve">11.683.168/0001-65</t>
  </si>
  <si>
    <t xml:space="preserve">10.813.529/0001-88</t>
  </si>
  <si>
    <t xml:space="preserve">10671924/0001-73</t>
  </si>
  <si>
    <t xml:space="preserve">10.881.545/0001-08</t>
  </si>
  <si>
    <t xml:space="preserve">10.913.511/0001-58</t>
  </si>
  <si>
    <t xml:space="preserve">10.943.895/0001-51</t>
  </si>
  <si>
    <t xml:space="preserve">10.949.229/0001-20</t>
  </si>
  <si>
    <t xml:space="preserve">11.196.025/0001-29</t>
  </si>
  <si>
    <t xml:space="preserve">11.821.792/0001-81</t>
  </si>
  <si>
    <t xml:space="preserve">11.098.015/0001-50</t>
  </si>
  <si>
    <t xml:space="preserve">11.759.742/0001-11</t>
  </si>
  <si>
    <t xml:space="preserve">11.635.807/0001-17</t>
  </si>
  <si>
    <t xml:space="preserve">11.727.749/0001-51</t>
  </si>
  <si>
    <t xml:space="preserve">11.770.843/0001-93</t>
  </si>
  <si>
    <t xml:space="preserve">08.952.668/0001-40</t>
  </si>
  <si>
    <t xml:space="preserve">08.952.666.0001-51</t>
  </si>
  <si>
    <t xml:space="preserve">11038776/0001-17</t>
  </si>
  <si>
    <t xml:space="preserve">12.808.025/0001-03</t>
  </si>
  <si>
    <t xml:space="preserve">11.944.437/0001-08</t>
  </si>
  <si>
    <t xml:space="preserve">11.515.591/0001-56</t>
  </si>
  <si>
    <t xml:space="preserve">11.609.660/0001-90</t>
  </si>
  <si>
    <t xml:space="preserve">12.025.566/0001-57</t>
  </si>
  <si>
    <t xml:space="preserve">11.583.673/0001-38</t>
  </si>
  <si>
    <t xml:space="preserve">12.813.111/0001-04</t>
  </si>
  <si>
    <t xml:space="preserve">11.906.357/0001-50</t>
  </si>
  <si>
    <t xml:space="preserve">11.977.731/0001-08</t>
  </si>
  <si>
    <t xml:space="preserve">12131450/0001-00</t>
  </si>
  <si>
    <t xml:space="preserve">11.989.146/0001-28</t>
  </si>
  <si>
    <t xml:space="preserve">12.618.858/0001-01</t>
  </si>
  <si>
    <t xml:space="preserve">12.066.739/0001-85</t>
  </si>
  <si>
    <t xml:space="preserve">11.792.214/0001-64</t>
  </si>
  <si>
    <t xml:space="preserve">12.559.748/0001-08</t>
  </si>
  <si>
    <t xml:space="preserve">11.886.485/0001-89</t>
  </si>
  <si>
    <t xml:space="preserve">11.876.401/0001-26</t>
  </si>
  <si>
    <t xml:space="preserve">12.452.855/0001-32</t>
  </si>
  <si>
    <t xml:space="preserve">12.253.815/0001-61</t>
  </si>
  <si>
    <t xml:space="preserve">12.127.975/0001-64</t>
  </si>
  <si>
    <t xml:space="preserve">12.096.148/0001-50</t>
  </si>
  <si>
    <t xml:space="preserve">12.036.999/0001-08</t>
  </si>
  <si>
    <t xml:space="preserve">12.403.864/0001-33</t>
  </si>
  <si>
    <t xml:space="preserve">13.408.343/0001-31</t>
  </si>
  <si>
    <t xml:space="preserve">13.856.585/0001-98</t>
  </si>
  <si>
    <t xml:space="preserve">13.774.730/0001-91</t>
  </si>
  <si>
    <t xml:space="preserve">13.652.886/0001-08</t>
  </si>
  <si>
    <t xml:space="preserve">13.691.408/0001-07</t>
  </si>
  <si>
    <t xml:space="preserve">13.580.332/0001-34</t>
  </si>
  <si>
    <t xml:space="preserve">13.657.353/0001-00</t>
  </si>
  <si>
    <t xml:space="preserve">05.591.815/0001-06</t>
  </si>
  <si>
    <t xml:space="preserve">14.387.998/0001-33</t>
  </si>
  <si>
    <t xml:space="preserve">14.939.051/0001-98</t>
  </si>
  <si>
    <t xml:space="preserve">15.320.417/0001-09</t>
  </si>
  <si>
    <t xml:space="preserve">18.022.027/0001-40</t>
  </si>
  <si>
    <t xml:space="preserve">15.686.093/0001-27</t>
  </si>
  <si>
    <t xml:space="preserve">15.242.334/0001-49</t>
  </si>
  <si>
    <t xml:space="preserve">17.847.117/0001-08</t>
  </si>
  <si>
    <t xml:space="preserve">16.884.406/0001-14</t>
  </si>
  <si>
    <t xml:space="preserve">02.099.246/0001-98</t>
  </si>
  <si>
    <t xml:space="preserve">11.429.581/0001-06</t>
  </si>
  <si>
    <t xml:space="preserve">04.402.364/0001-59</t>
  </si>
  <si>
    <t xml:space="preserve">15.204.487/0001-00</t>
  </si>
  <si>
    <t xml:space="preserve">15.204.510/0001-58</t>
  </si>
  <si>
    <t xml:space="preserve">17.119.804/0001-07</t>
  </si>
  <si>
    <t xml:space="preserve">15.606.896/0001-24</t>
  </si>
  <si>
    <t xml:space="preserve">16923505/000168</t>
  </si>
  <si>
    <t xml:space="preserve">16.943.783/0001-87</t>
  </si>
  <si>
    <t xml:space="preserve">16.960.610/0001-77</t>
  </si>
  <si>
    <t xml:space="preserve">16.930.384/0001-81</t>
  </si>
  <si>
    <t xml:space="preserve">18.204.069/0001-00</t>
  </si>
  <si>
    <t xml:space="preserve">18.397.685/0001-17</t>
  </si>
  <si>
    <t xml:space="preserve">18.011.814/0001-97</t>
  </si>
  <si>
    <t xml:space="preserve">18.295.229/0001-66</t>
  </si>
  <si>
    <t xml:space="preserve">20.063.618/0001-08</t>
  </si>
  <si>
    <t xml:space="preserve">20.283.631/0001-72</t>
  </si>
  <si>
    <t xml:space="preserve">21.358.020/0001-09</t>
  </si>
  <si>
    <t xml:space="preserve">20.867.061/0001-68</t>
  </si>
  <si>
    <t xml:space="preserve">20.846.568/0001-35</t>
  </si>
  <si>
    <t xml:space="preserve">22.652.134/0001-20</t>
  </si>
  <si>
    <t xml:space="preserve">23.000.442/0001-33</t>
  </si>
  <si>
    <t xml:space="preserve">21950354/0001-77</t>
  </si>
  <si>
    <t xml:space="preserve">23.113.135/0001-69</t>
  </si>
  <si>
    <t xml:space="preserve">27.060.969/0001-04</t>
  </si>
  <si>
    <t xml:space="preserve">55.722.935/0001-73</t>
  </si>
  <si>
    <t xml:space="preserve">25.026.768/0001-65</t>
  </si>
  <si>
    <t xml:space="preserve">24.866.025/0001-30</t>
  </si>
  <si>
    <t xml:space="preserve">24.321.293/0001-77</t>
  </si>
  <si>
    <t xml:space="preserve">24.963.971/0001-03</t>
  </si>
  <si>
    <t xml:space="preserve">26.096.163/0001-03</t>
  </si>
  <si>
    <t xml:space="preserve">25.009.776/0001-01</t>
  </si>
  <si>
    <t xml:space="preserve">26.133.261/0001-73</t>
  </si>
  <si>
    <t xml:space="preserve">24.618.686/0001-47</t>
  </si>
  <si>
    <t xml:space="preserve">26.434.291/0001-10</t>
  </si>
  <si>
    <t xml:space="preserve">28.678.458/0001-13</t>
  </si>
  <si>
    <t xml:space="preserve">29.815.502/0001-52</t>
  </si>
  <si>
    <t xml:space="preserve">28.932.717/0001-90</t>
  </si>
  <si>
    <t xml:space="preserve">28.508.746/0001-20</t>
  </si>
  <si>
    <t xml:space="preserve">28.270.589/0001-67</t>
  </si>
  <si>
    <t xml:space="preserve">28.874.483/0001-72</t>
  </si>
  <si>
    <t xml:space="preserve">35.335.373/0001-06</t>
  </si>
  <si>
    <t xml:space="preserve">35.039.806/0001-78</t>
  </si>
  <si>
    <t xml:space="preserve">33.145.825/0001-53</t>
  </si>
  <si>
    <t xml:space="preserve">32.992.198/0001-23</t>
  </si>
  <si>
    <t xml:space="preserve">33.269.130/0001-83</t>
  </si>
  <si>
    <t xml:space="preserve">45.123.301/0001-40</t>
  </si>
  <si>
    <t xml:space="preserve">45.227.254/0001-85</t>
  </si>
  <si>
    <t xml:space="preserve">41.457.191/0001-00</t>
  </si>
  <si>
    <t xml:space="preserve">40.937.331/0001-77</t>
  </si>
  <si>
    <t xml:space="preserve">42.102.856/0001-18</t>
  </si>
  <si>
    <t xml:space="preserve">41.363.880/0001-48</t>
  </si>
  <si>
    <t xml:space="preserve">46.090.137/0001-85</t>
  </si>
  <si>
    <t xml:space="preserve">41.929.088/0001-08</t>
  </si>
  <si>
    <t xml:space="preserve">41.003.506/0001-31</t>
  </si>
  <si>
    <t xml:space="preserve">44.186.501/0001-80</t>
  </si>
  <si>
    <t xml:space="preserve">47.049.818/0001-62</t>
  </si>
  <si>
    <t xml:space="preserve">53.291.992/0001-10</t>
  </si>
  <si>
    <t xml:space="preserve">66.928.971/0001-04</t>
  </si>
  <si>
    <t xml:space="preserve">id_lotacao</t>
  </si>
  <si>
    <t xml:space="preserve">CNPJ_original</t>
  </si>
  <si>
    <t xml:space="preserve">CNPJ_14_digitos</t>
  </si>
  <si>
    <t xml:space="preserve">CNPJ_padronizado</t>
  </si>
  <si>
    <t xml:space="preserve">status</t>
  </si>
  <si>
    <t xml:space="preserve">Resumo</t>
  </si>
  <si>
    <t xml:space="preserve">Qtde</t>
  </si>
  <si>
    <t xml:space="preserve">Lotações no sisgi</t>
  </si>
  <si>
    <t xml:space="preserve">Com CNPJ encontrado</t>
  </si>
  <si>
    <t xml:space="preserve">Sem CNPJ na aba cnpj</t>
  </si>
  <si>
    <t xml:space="preserve">Lotação não existe na aba cnpj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</si>
</sst>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3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8982</v>
      </c>
    </row>
    <row r="3" customFormat="false" ht="15" hidden="false" customHeight="false" outlineLevel="0" collapsed="false">
      <c r="A3" s="0" t="n">
        <v>9059</v>
      </c>
    </row>
    <row r="4" customFormat="false" ht="15" hidden="false" customHeight="false" outlineLevel="0" collapsed="false">
      <c r="A4" s="0" t="n">
        <v>9083</v>
      </c>
    </row>
    <row r="5" customFormat="false" ht="15" hidden="false" customHeight="false" outlineLevel="0" collapsed="false">
      <c r="A5" s="0" t="n">
        <v>9121</v>
      </c>
    </row>
    <row r="6" customFormat="false" ht="15" hidden="false" customHeight="false" outlineLevel="0" collapsed="false">
      <c r="A6" s="0" t="n">
        <v>9130</v>
      </c>
    </row>
    <row r="7" customFormat="false" ht="15" hidden="false" customHeight="false" outlineLevel="0" collapsed="false">
      <c r="A7" s="0" t="n">
        <v>9210</v>
      </c>
    </row>
    <row r="8" customFormat="false" ht="15" hidden="false" customHeight="false" outlineLevel="0" collapsed="false">
      <c r="A8" s="0" t="n">
        <v>9326</v>
      </c>
      <c r="B8" s="0" t="s">
        <v>2</v>
      </c>
    </row>
    <row r="9" customFormat="false" ht="15" hidden="false" customHeight="false" outlineLevel="0" collapsed="false">
      <c r="A9" s="0" t="n">
        <v>9385</v>
      </c>
    </row>
    <row r="10" customFormat="false" ht="15" hidden="false" customHeight="false" outlineLevel="0" collapsed="false">
      <c r="A10" s="0" t="n">
        <v>9393</v>
      </c>
      <c r="B10" s="0" t="s">
        <v>3</v>
      </c>
    </row>
    <row r="11" customFormat="false" ht="15" hidden="false" customHeight="false" outlineLevel="0" collapsed="false">
      <c r="A11" s="0" t="n">
        <v>9415</v>
      </c>
      <c r="B11" s="0" t="n">
        <v>3143474000180</v>
      </c>
    </row>
    <row r="12" customFormat="false" ht="15" hidden="false" customHeight="false" outlineLevel="0" collapsed="false">
      <c r="A12" s="0" t="n">
        <v>9423</v>
      </c>
      <c r="B12" s="0" t="n">
        <v>1996502000187</v>
      </c>
    </row>
    <row r="13" customFormat="false" ht="15" hidden="false" customHeight="false" outlineLevel="0" collapsed="false">
      <c r="A13" s="0" t="n">
        <v>9440</v>
      </c>
      <c r="B13" s="0" t="s">
        <v>4</v>
      </c>
    </row>
    <row r="14" customFormat="false" ht="15" hidden="false" customHeight="false" outlineLevel="0" collapsed="false">
      <c r="A14" s="0" t="n">
        <v>9466</v>
      </c>
      <c r="B14" s="0" t="n">
        <v>15037757000127</v>
      </c>
    </row>
    <row r="15" customFormat="false" ht="15" hidden="false" customHeight="false" outlineLevel="0" collapsed="false">
      <c r="A15" s="0" t="n">
        <v>9474</v>
      </c>
      <c r="B15" s="0" t="s">
        <v>5</v>
      </c>
    </row>
    <row r="16" customFormat="false" ht="15" hidden="false" customHeight="false" outlineLevel="0" collapsed="false">
      <c r="A16" s="0" t="n">
        <v>9482</v>
      </c>
      <c r="B16" s="0" t="s">
        <v>6</v>
      </c>
    </row>
    <row r="17" customFormat="false" ht="15" hidden="false" customHeight="false" outlineLevel="0" collapsed="false">
      <c r="A17" s="0" t="n">
        <v>9520</v>
      </c>
      <c r="B17" s="0" t="s">
        <v>7</v>
      </c>
    </row>
    <row r="18" customFormat="false" ht="15" hidden="false" customHeight="false" outlineLevel="0" collapsed="false">
      <c r="A18" s="0" t="n">
        <v>9539</v>
      </c>
      <c r="B18" s="0" t="s">
        <v>8</v>
      </c>
    </row>
    <row r="19" customFormat="false" ht="15" hidden="false" customHeight="false" outlineLevel="0" collapsed="false">
      <c r="A19" s="0" t="n">
        <v>9547</v>
      </c>
      <c r="B19" s="0" t="s">
        <v>9</v>
      </c>
    </row>
    <row r="20" customFormat="false" ht="15" hidden="false" customHeight="false" outlineLevel="0" collapsed="false">
      <c r="A20" s="0" t="n">
        <v>9571</v>
      </c>
      <c r="B20" s="0" t="s">
        <v>10</v>
      </c>
    </row>
    <row r="21" customFormat="false" ht="15" hidden="false" customHeight="false" outlineLevel="0" collapsed="false">
      <c r="A21" s="0" t="n">
        <v>9610</v>
      </c>
      <c r="B21" s="0" t="s">
        <v>11</v>
      </c>
    </row>
    <row r="22" customFormat="false" ht="15" hidden="false" customHeight="false" outlineLevel="0" collapsed="false">
      <c r="A22" s="0" t="n">
        <v>9652</v>
      </c>
      <c r="B22" s="0" t="s">
        <v>12</v>
      </c>
    </row>
    <row r="23" customFormat="false" ht="15" hidden="false" customHeight="false" outlineLevel="0" collapsed="false">
      <c r="A23" s="0" t="n">
        <v>9679</v>
      </c>
      <c r="B23" s="0" t="s">
        <v>13</v>
      </c>
    </row>
    <row r="24" customFormat="false" ht="15" hidden="false" customHeight="false" outlineLevel="0" collapsed="false">
      <c r="A24" s="0" t="n">
        <v>9687</v>
      </c>
      <c r="B24" s="0" t="s">
        <v>14</v>
      </c>
    </row>
    <row r="25" customFormat="false" ht="15" hidden="false" customHeight="false" outlineLevel="0" collapsed="false">
      <c r="A25" s="0" t="n">
        <v>9695</v>
      </c>
      <c r="B25" s="0" t="s">
        <v>15</v>
      </c>
    </row>
    <row r="26" customFormat="false" ht="15" hidden="false" customHeight="false" outlineLevel="0" collapsed="false">
      <c r="A26" s="0" t="n">
        <v>9709</v>
      </c>
      <c r="B26" s="0" t="s">
        <v>16</v>
      </c>
    </row>
    <row r="27" customFormat="false" ht="15" hidden="false" customHeight="false" outlineLevel="0" collapsed="false">
      <c r="A27" s="0" t="n">
        <v>9717</v>
      </c>
      <c r="B27" s="0" t="s">
        <v>17</v>
      </c>
    </row>
    <row r="28" customFormat="false" ht="15" hidden="false" customHeight="false" outlineLevel="0" collapsed="false">
      <c r="A28" s="0" t="n">
        <v>9725</v>
      </c>
      <c r="B28" s="0" t="s">
        <v>18</v>
      </c>
    </row>
    <row r="29" customFormat="false" ht="15" hidden="false" customHeight="false" outlineLevel="0" collapsed="false">
      <c r="A29" s="0" t="n">
        <v>9733</v>
      </c>
      <c r="B29" s="0" t="s">
        <v>19</v>
      </c>
    </row>
    <row r="30" customFormat="false" ht="15" hidden="false" customHeight="false" outlineLevel="0" collapsed="false">
      <c r="A30" s="0" t="n">
        <v>9750</v>
      </c>
    </row>
    <row r="31" customFormat="false" ht="15" hidden="false" customHeight="false" outlineLevel="0" collapsed="false">
      <c r="A31" s="0" t="n">
        <v>9784</v>
      </c>
    </row>
    <row r="32" customFormat="false" ht="15" hidden="false" customHeight="false" outlineLevel="0" collapsed="false">
      <c r="A32" s="0" t="n">
        <v>9806</v>
      </c>
      <c r="B32" s="0" t="s">
        <v>20</v>
      </c>
    </row>
    <row r="33" customFormat="false" ht="15" hidden="false" customHeight="false" outlineLevel="0" collapsed="false">
      <c r="A33" s="0" t="n">
        <v>9814</v>
      </c>
      <c r="B33" s="0" t="s">
        <v>21</v>
      </c>
    </row>
    <row r="34" customFormat="false" ht="15" hidden="false" customHeight="false" outlineLevel="0" collapsed="false">
      <c r="A34" s="0" t="n">
        <v>9830</v>
      </c>
      <c r="B34" s="0" t="s">
        <v>22</v>
      </c>
    </row>
    <row r="35" customFormat="false" ht="15" hidden="false" customHeight="false" outlineLevel="0" collapsed="false">
      <c r="A35" s="0" t="n">
        <v>9849</v>
      </c>
      <c r="B35" s="0" t="s">
        <v>23</v>
      </c>
    </row>
    <row r="36" customFormat="false" ht="15" hidden="false" customHeight="false" outlineLevel="0" collapsed="false">
      <c r="A36" s="0" t="n">
        <v>9857</v>
      </c>
      <c r="B36" s="0" t="s">
        <v>24</v>
      </c>
    </row>
    <row r="37" customFormat="false" ht="15" hidden="false" customHeight="false" outlineLevel="0" collapsed="false">
      <c r="A37" s="0" t="n">
        <v>9865</v>
      </c>
      <c r="B37" s="0" t="s">
        <v>25</v>
      </c>
    </row>
    <row r="38" customFormat="false" ht="15" hidden="false" customHeight="false" outlineLevel="0" collapsed="false">
      <c r="A38" s="0" t="n">
        <v>9903</v>
      </c>
      <c r="B38" s="0" t="s">
        <v>26</v>
      </c>
    </row>
    <row r="39" customFormat="false" ht="15" hidden="false" customHeight="false" outlineLevel="0" collapsed="false">
      <c r="A39" s="0" t="n">
        <v>9911</v>
      </c>
      <c r="B39" s="0" t="s">
        <v>27</v>
      </c>
    </row>
    <row r="40" customFormat="false" ht="15" hidden="false" customHeight="false" outlineLevel="0" collapsed="false">
      <c r="A40" s="0" t="n">
        <v>9920</v>
      </c>
      <c r="B40" s="0" t="s">
        <v>28</v>
      </c>
    </row>
    <row r="41" customFormat="false" ht="15" hidden="false" customHeight="false" outlineLevel="0" collapsed="false">
      <c r="A41" s="0" t="n">
        <v>9938</v>
      </c>
      <c r="B41" s="0" t="s">
        <v>29</v>
      </c>
    </row>
    <row r="42" customFormat="false" ht="15" hidden="false" customHeight="false" outlineLevel="0" collapsed="false">
      <c r="A42" s="0" t="n">
        <v>9946</v>
      </c>
      <c r="B42" s="0" t="s">
        <v>30</v>
      </c>
    </row>
    <row r="43" customFormat="false" ht="15" hidden="false" customHeight="false" outlineLevel="0" collapsed="false">
      <c r="A43" s="0" t="n">
        <v>9970</v>
      </c>
      <c r="B43" s="0" t="n">
        <v>2500988000183</v>
      </c>
    </row>
    <row r="44" customFormat="false" ht="15" hidden="false" customHeight="false" outlineLevel="0" collapsed="false">
      <c r="A44" s="0" t="n">
        <v>10057</v>
      </c>
      <c r="B44" s="0" t="s">
        <v>31</v>
      </c>
    </row>
    <row r="45" customFormat="false" ht="15" hidden="false" customHeight="false" outlineLevel="0" collapsed="false">
      <c r="A45" s="0" t="n">
        <v>10065</v>
      </c>
      <c r="B45" s="0" t="s">
        <v>32</v>
      </c>
    </row>
    <row r="46" customFormat="false" ht="15" hidden="false" customHeight="false" outlineLevel="0" collapsed="false">
      <c r="A46" s="0" t="n">
        <v>10154</v>
      </c>
      <c r="B46" s="0" t="s">
        <v>33</v>
      </c>
    </row>
    <row r="47" customFormat="false" ht="15" hidden="false" customHeight="false" outlineLevel="0" collapsed="false">
      <c r="A47" s="0" t="n">
        <v>10189</v>
      </c>
      <c r="B47" s="0" t="s">
        <v>34</v>
      </c>
    </row>
    <row r="48" customFormat="false" ht="15" hidden="false" customHeight="false" outlineLevel="0" collapsed="false">
      <c r="A48" s="0" t="n">
        <v>10243</v>
      </c>
      <c r="B48" s="0" t="s">
        <v>35</v>
      </c>
    </row>
    <row r="49" customFormat="false" ht="15" hidden="false" customHeight="false" outlineLevel="0" collapsed="false">
      <c r="A49" s="0" t="n">
        <v>10260</v>
      </c>
      <c r="B49" s="0" t="s">
        <v>36</v>
      </c>
    </row>
    <row r="50" customFormat="false" ht="15" hidden="false" customHeight="false" outlineLevel="0" collapsed="false">
      <c r="A50" s="0" t="n">
        <v>10278</v>
      </c>
      <c r="B50" s="0" t="s">
        <v>37</v>
      </c>
    </row>
    <row r="51" customFormat="false" ht="15" hidden="false" customHeight="false" outlineLevel="0" collapsed="false">
      <c r="A51" s="0" t="n">
        <v>10340</v>
      </c>
      <c r="B51" s="0" t="s">
        <v>38</v>
      </c>
    </row>
    <row r="52" customFormat="false" ht="15" hidden="false" customHeight="false" outlineLevel="0" collapsed="false">
      <c r="A52" s="0" t="n">
        <v>10359</v>
      </c>
      <c r="B52" s="0" t="s">
        <v>39</v>
      </c>
    </row>
    <row r="53" customFormat="false" ht="15" hidden="false" customHeight="false" outlineLevel="0" collapsed="false">
      <c r="A53" s="0" t="n">
        <v>10405</v>
      </c>
      <c r="B53" s="0" t="s">
        <v>40</v>
      </c>
    </row>
    <row r="54" customFormat="false" ht="15" hidden="false" customHeight="false" outlineLevel="0" collapsed="false">
      <c r="A54" s="0" t="n">
        <v>10421</v>
      </c>
      <c r="B54" s="0" t="s">
        <v>41</v>
      </c>
    </row>
    <row r="55" customFormat="false" ht="15" hidden="false" customHeight="false" outlineLevel="0" collapsed="false">
      <c r="A55" s="0" t="n">
        <v>10430</v>
      </c>
      <c r="B55" s="0" t="s">
        <v>42</v>
      </c>
    </row>
    <row r="56" customFormat="false" ht="15" hidden="false" customHeight="false" outlineLevel="0" collapsed="false">
      <c r="A56" s="0" t="n">
        <v>10448</v>
      </c>
      <c r="B56" s="0" t="s">
        <v>43</v>
      </c>
    </row>
    <row r="57" customFormat="false" ht="15" hidden="false" customHeight="false" outlineLevel="0" collapsed="false">
      <c r="A57" s="0" t="n">
        <v>10456</v>
      </c>
      <c r="B57" s="0" t="s">
        <v>44</v>
      </c>
    </row>
    <row r="58" customFormat="false" ht="15" hidden="false" customHeight="false" outlineLevel="0" collapsed="false">
      <c r="A58" s="0" t="n">
        <v>10464</v>
      </c>
      <c r="B58" s="0" t="n">
        <v>2501936000121</v>
      </c>
    </row>
    <row r="59" customFormat="false" ht="15" hidden="false" customHeight="false" outlineLevel="0" collapsed="false">
      <c r="A59" s="0" t="n">
        <v>10480</v>
      </c>
      <c r="B59" s="0" t="s">
        <v>45</v>
      </c>
    </row>
    <row r="60" customFormat="false" ht="15" hidden="false" customHeight="false" outlineLevel="0" collapsed="false">
      <c r="A60" s="0" t="n">
        <v>10502</v>
      </c>
      <c r="B60" s="0" t="s">
        <v>46</v>
      </c>
    </row>
    <row r="61" customFormat="false" ht="15" hidden="false" customHeight="false" outlineLevel="0" collapsed="false">
      <c r="A61" s="0" t="n">
        <v>10588</v>
      </c>
      <c r="B61" s="0" t="s">
        <v>47</v>
      </c>
    </row>
    <row r="62" customFormat="false" ht="15" hidden="false" customHeight="false" outlineLevel="0" collapsed="false">
      <c r="A62" s="0" t="n">
        <v>10596</v>
      </c>
      <c r="B62" s="0" t="s">
        <v>48</v>
      </c>
    </row>
    <row r="63" customFormat="false" ht="15" hidden="false" customHeight="false" outlineLevel="0" collapsed="false">
      <c r="A63" s="0" t="n">
        <v>10642</v>
      </c>
      <c r="B63" s="0" t="s">
        <v>49</v>
      </c>
    </row>
    <row r="64" customFormat="false" ht="15" hidden="false" customHeight="false" outlineLevel="0" collapsed="false">
      <c r="A64" s="0" t="n">
        <v>10693</v>
      </c>
      <c r="B64" s="0" t="s">
        <v>50</v>
      </c>
    </row>
    <row r="65" customFormat="false" ht="15" hidden="false" customHeight="false" outlineLevel="0" collapsed="false">
      <c r="A65" s="0" t="n">
        <v>10707</v>
      </c>
      <c r="B65" s="0" t="s">
        <v>51</v>
      </c>
    </row>
    <row r="66" customFormat="false" ht="15" hidden="false" customHeight="false" outlineLevel="0" collapsed="false">
      <c r="A66" s="0" t="n">
        <v>10731</v>
      </c>
      <c r="B66" s="0" t="s">
        <v>52</v>
      </c>
    </row>
    <row r="67" customFormat="false" ht="15" hidden="false" customHeight="false" outlineLevel="0" collapsed="false">
      <c r="A67" s="0" t="n">
        <v>10758</v>
      </c>
      <c r="B67" s="0" t="s">
        <v>53</v>
      </c>
    </row>
    <row r="68" customFormat="false" ht="15" hidden="false" customHeight="false" outlineLevel="0" collapsed="false">
      <c r="A68" s="0" t="n">
        <v>10766</v>
      </c>
      <c r="B68" s="0" t="s">
        <v>54</v>
      </c>
    </row>
    <row r="69" customFormat="false" ht="15" hidden="false" customHeight="false" outlineLevel="0" collapsed="false">
      <c r="A69" s="0" t="n">
        <v>10774</v>
      </c>
      <c r="B69" s="0" t="s">
        <v>55</v>
      </c>
    </row>
    <row r="70" customFormat="false" ht="15" hidden="false" customHeight="false" outlineLevel="0" collapsed="false">
      <c r="A70" s="0" t="n">
        <v>10804</v>
      </c>
      <c r="B70" s="0" t="s">
        <v>56</v>
      </c>
    </row>
    <row r="71" customFormat="false" ht="15" hidden="false" customHeight="false" outlineLevel="0" collapsed="false">
      <c r="A71" s="0" t="n">
        <v>10855</v>
      </c>
      <c r="B71" s="0" t="s">
        <v>57</v>
      </c>
    </row>
    <row r="72" customFormat="false" ht="15" hidden="false" customHeight="false" outlineLevel="0" collapsed="false">
      <c r="A72" s="0" t="n">
        <v>10863</v>
      </c>
      <c r="B72" s="0" t="s">
        <v>58</v>
      </c>
    </row>
    <row r="73" customFormat="false" ht="15" hidden="false" customHeight="false" outlineLevel="0" collapsed="false">
      <c r="A73" s="0" t="n">
        <v>10871</v>
      </c>
      <c r="B73" s="0" t="s">
        <v>59</v>
      </c>
    </row>
    <row r="74" customFormat="false" ht="15" hidden="false" customHeight="false" outlineLevel="0" collapsed="false">
      <c r="A74" s="0" t="n">
        <v>10880</v>
      </c>
      <c r="B74" s="0" t="s">
        <v>60</v>
      </c>
    </row>
    <row r="75" customFormat="false" ht="15" hidden="false" customHeight="false" outlineLevel="0" collapsed="false">
      <c r="A75" s="0" t="n">
        <v>10901</v>
      </c>
      <c r="B75" s="0" t="s">
        <v>61</v>
      </c>
    </row>
    <row r="76" customFormat="false" ht="15" hidden="false" customHeight="false" outlineLevel="0" collapsed="false">
      <c r="A76" s="0" t="n">
        <v>10910</v>
      </c>
      <c r="B76" s="0" t="s">
        <v>62</v>
      </c>
    </row>
    <row r="77" customFormat="false" ht="15" hidden="false" customHeight="false" outlineLevel="0" collapsed="false">
      <c r="A77" s="0" t="n">
        <v>10928</v>
      </c>
      <c r="B77" s="0" t="s">
        <v>63</v>
      </c>
    </row>
    <row r="78" customFormat="false" ht="15" hidden="false" customHeight="false" outlineLevel="0" collapsed="false">
      <c r="A78" s="0" t="n">
        <v>10952</v>
      </c>
      <c r="B78" s="0" t="s">
        <v>64</v>
      </c>
    </row>
    <row r="79" customFormat="false" ht="15" hidden="false" customHeight="false" outlineLevel="0" collapsed="false">
      <c r="A79" s="0" t="n">
        <v>10960</v>
      </c>
      <c r="B79" s="0" t="s">
        <v>65</v>
      </c>
    </row>
    <row r="80" customFormat="false" ht="15" hidden="false" customHeight="false" outlineLevel="0" collapsed="false">
      <c r="A80" s="0" t="n">
        <v>10979</v>
      </c>
      <c r="B80" s="0" t="s">
        <v>66</v>
      </c>
    </row>
    <row r="81" customFormat="false" ht="15" hidden="false" customHeight="false" outlineLevel="0" collapsed="false">
      <c r="A81" s="0" t="n">
        <v>10995</v>
      </c>
      <c r="B81" s="0" t="s">
        <v>67</v>
      </c>
    </row>
    <row r="82" customFormat="false" ht="15" hidden="false" customHeight="false" outlineLevel="0" collapsed="false">
      <c r="A82" s="0" t="n">
        <v>11002</v>
      </c>
      <c r="B82" s="0" t="s">
        <v>68</v>
      </c>
    </row>
    <row r="83" customFormat="false" ht="15" hidden="false" customHeight="false" outlineLevel="0" collapsed="false">
      <c r="A83" s="0" t="n">
        <v>11010</v>
      </c>
      <c r="B83" s="0" t="s">
        <v>69</v>
      </c>
    </row>
    <row r="84" customFormat="false" ht="15" hidden="false" customHeight="false" outlineLevel="0" collapsed="false">
      <c r="A84" s="0" t="n">
        <v>11037</v>
      </c>
      <c r="B84" s="0" t="n">
        <v>5248031000180</v>
      </c>
    </row>
    <row r="85" customFormat="false" ht="15" hidden="false" customHeight="false" outlineLevel="0" collapsed="false">
      <c r="A85" s="0" t="n">
        <v>11045</v>
      </c>
      <c r="B85" s="0" t="s">
        <v>70</v>
      </c>
    </row>
    <row r="86" customFormat="false" ht="15" hidden="false" customHeight="false" outlineLevel="0" collapsed="false">
      <c r="A86" s="0" t="n">
        <v>11061</v>
      </c>
      <c r="B86" s="0" t="s">
        <v>71</v>
      </c>
    </row>
    <row r="87" customFormat="false" ht="15" hidden="false" customHeight="false" outlineLevel="0" collapsed="false">
      <c r="A87" s="0" t="n">
        <v>11070</v>
      </c>
      <c r="B87" s="0" t="s">
        <v>72</v>
      </c>
    </row>
    <row r="88" customFormat="false" ht="15" hidden="false" customHeight="false" outlineLevel="0" collapsed="false">
      <c r="A88" s="0" t="n">
        <v>11088</v>
      </c>
      <c r="B88" s="0" t="s">
        <v>73</v>
      </c>
    </row>
    <row r="89" customFormat="false" ht="15" hidden="false" customHeight="false" outlineLevel="0" collapsed="false">
      <c r="A89" s="0" t="n">
        <v>11118</v>
      </c>
      <c r="B89" s="0" t="s">
        <v>74</v>
      </c>
    </row>
    <row r="90" customFormat="false" ht="15" hidden="false" customHeight="false" outlineLevel="0" collapsed="false">
      <c r="A90" s="0" t="n">
        <v>11126</v>
      </c>
      <c r="B90" s="0" t="s">
        <v>75</v>
      </c>
    </row>
    <row r="91" customFormat="false" ht="15" hidden="false" customHeight="false" outlineLevel="0" collapsed="false">
      <c r="A91" s="0" t="n">
        <v>11134</v>
      </c>
      <c r="B91" s="0" t="s">
        <v>76</v>
      </c>
    </row>
    <row r="92" customFormat="false" ht="15" hidden="false" customHeight="false" outlineLevel="0" collapsed="false">
      <c r="A92" s="0" t="n">
        <v>11142</v>
      </c>
      <c r="B92" s="0" t="s">
        <v>77</v>
      </c>
    </row>
    <row r="93" customFormat="false" ht="15" hidden="false" customHeight="false" outlineLevel="0" collapsed="false">
      <c r="A93" s="0" t="n">
        <v>11185</v>
      </c>
      <c r="B93" s="0" t="s">
        <v>78</v>
      </c>
    </row>
    <row r="94" customFormat="false" ht="15" hidden="false" customHeight="false" outlineLevel="0" collapsed="false">
      <c r="A94" s="0" t="n">
        <v>11193</v>
      </c>
      <c r="B94" s="0" t="s">
        <v>79</v>
      </c>
    </row>
    <row r="95" customFormat="false" ht="15" hidden="false" customHeight="false" outlineLevel="0" collapsed="false">
      <c r="A95" s="0" t="n">
        <v>11207</v>
      </c>
      <c r="B95" s="0" t="s">
        <v>80</v>
      </c>
    </row>
    <row r="96" customFormat="false" ht="15" hidden="false" customHeight="false" outlineLevel="0" collapsed="false">
      <c r="A96" s="0" t="n">
        <v>11215</v>
      </c>
      <c r="B96" s="0" t="s">
        <v>81</v>
      </c>
    </row>
    <row r="97" customFormat="false" ht="15" hidden="false" customHeight="false" outlineLevel="0" collapsed="false">
      <c r="A97" s="0" t="n">
        <v>11231</v>
      </c>
      <c r="B97" s="0" t="s">
        <v>82</v>
      </c>
    </row>
    <row r="98" customFormat="false" ht="15" hidden="false" customHeight="false" outlineLevel="0" collapsed="false">
      <c r="A98" s="0" t="n">
        <v>11282</v>
      </c>
      <c r="B98" s="0" t="s">
        <v>83</v>
      </c>
    </row>
    <row r="99" customFormat="false" ht="15" hidden="false" customHeight="false" outlineLevel="0" collapsed="false">
      <c r="A99" s="0" t="n">
        <v>11290</v>
      </c>
      <c r="B99" s="0" t="s">
        <v>84</v>
      </c>
    </row>
    <row r="100" customFormat="false" ht="15" hidden="false" customHeight="false" outlineLevel="0" collapsed="false">
      <c r="A100" s="0" t="n">
        <v>11339</v>
      </c>
      <c r="B100" s="0" t="s">
        <v>85</v>
      </c>
    </row>
    <row r="101" customFormat="false" ht="15" hidden="false" customHeight="false" outlineLevel="0" collapsed="false">
      <c r="A101" s="0" t="n">
        <v>11355</v>
      </c>
      <c r="B101" s="0" t="s">
        <v>86</v>
      </c>
    </row>
    <row r="102" customFormat="false" ht="15" hidden="false" customHeight="false" outlineLevel="0" collapsed="false">
      <c r="A102" s="0" t="n">
        <v>11363</v>
      </c>
      <c r="B102" s="0" t="s">
        <v>87</v>
      </c>
    </row>
    <row r="103" customFormat="false" ht="15" hidden="false" customHeight="false" outlineLevel="0" collapsed="false">
      <c r="A103" s="0" t="n">
        <v>11371</v>
      </c>
      <c r="B103" s="0" t="s">
        <v>88</v>
      </c>
    </row>
    <row r="104" customFormat="false" ht="15" hidden="false" customHeight="false" outlineLevel="0" collapsed="false">
      <c r="A104" s="0" t="n">
        <v>11410</v>
      </c>
      <c r="B104" s="0" t="s">
        <v>89</v>
      </c>
    </row>
    <row r="105" customFormat="false" ht="15" hidden="false" customHeight="false" outlineLevel="0" collapsed="false">
      <c r="A105" s="0" t="n">
        <v>11452</v>
      </c>
      <c r="B105" s="0" t="s">
        <v>90</v>
      </c>
    </row>
    <row r="106" customFormat="false" ht="15" hidden="false" customHeight="false" outlineLevel="0" collapsed="false">
      <c r="A106" s="0" t="n">
        <v>11479</v>
      </c>
      <c r="B106" s="0" t="s">
        <v>91</v>
      </c>
    </row>
    <row r="107" customFormat="false" ht="15" hidden="false" customHeight="false" outlineLevel="0" collapsed="false">
      <c r="A107" s="0" t="n">
        <v>11487</v>
      </c>
      <c r="B107" s="0" t="s">
        <v>92</v>
      </c>
    </row>
    <row r="108" customFormat="false" ht="15" hidden="false" customHeight="false" outlineLevel="0" collapsed="false">
      <c r="A108" s="0" t="n">
        <v>11495</v>
      </c>
      <c r="B108" s="0" t="s">
        <v>93</v>
      </c>
    </row>
    <row r="109" customFormat="false" ht="15" hidden="false" customHeight="false" outlineLevel="0" collapsed="false">
      <c r="A109" s="0" t="n">
        <v>11509</v>
      </c>
      <c r="B109" s="0" t="s">
        <v>94</v>
      </c>
    </row>
    <row r="110" customFormat="false" ht="15" hidden="false" customHeight="false" outlineLevel="0" collapsed="false">
      <c r="A110" s="0" t="n">
        <v>11517</v>
      </c>
      <c r="B110" s="0" t="s">
        <v>95</v>
      </c>
    </row>
    <row r="111" customFormat="false" ht="15" hidden="false" customHeight="false" outlineLevel="0" collapsed="false">
      <c r="A111" s="0" t="n">
        <v>11533</v>
      </c>
      <c r="B111" s="0" t="s">
        <v>96</v>
      </c>
    </row>
    <row r="112" customFormat="false" ht="15" hidden="false" customHeight="false" outlineLevel="0" collapsed="false">
      <c r="A112" s="0" t="n">
        <v>11550</v>
      </c>
      <c r="B112" s="0" t="s">
        <v>97</v>
      </c>
    </row>
    <row r="113" customFormat="false" ht="15" hidden="false" customHeight="false" outlineLevel="0" collapsed="false">
      <c r="A113" s="0" t="n">
        <v>11568</v>
      </c>
      <c r="B113" s="0" t="s">
        <v>98</v>
      </c>
    </row>
    <row r="114" customFormat="false" ht="15" hidden="false" customHeight="false" outlineLevel="0" collapsed="false">
      <c r="A114" s="0" t="n">
        <v>11576</v>
      </c>
      <c r="B114" s="0" t="s">
        <v>99</v>
      </c>
    </row>
    <row r="115" customFormat="false" ht="15" hidden="false" customHeight="false" outlineLevel="0" collapsed="false">
      <c r="A115" s="0" t="n">
        <v>11606</v>
      </c>
      <c r="B115" s="0" t="s">
        <v>100</v>
      </c>
    </row>
    <row r="116" customFormat="false" ht="15" hidden="false" customHeight="false" outlineLevel="0" collapsed="false">
      <c r="A116" s="0" t="n">
        <v>11614</v>
      </c>
      <c r="B116" s="0" t="s">
        <v>101</v>
      </c>
    </row>
    <row r="117" customFormat="false" ht="15" hidden="false" customHeight="false" outlineLevel="0" collapsed="false">
      <c r="A117" s="0" t="n">
        <v>11630</v>
      </c>
      <c r="B117" s="0" t="s">
        <v>102</v>
      </c>
    </row>
    <row r="118" customFormat="false" ht="15" hidden="false" customHeight="false" outlineLevel="0" collapsed="false">
      <c r="A118" s="0" t="n">
        <v>11657</v>
      </c>
      <c r="B118" s="0" t="s">
        <v>103</v>
      </c>
    </row>
    <row r="119" customFormat="false" ht="15" hidden="false" customHeight="false" outlineLevel="0" collapsed="false">
      <c r="A119" s="0" t="n">
        <v>11690</v>
      </c>
      <c r="B119" s="0" t="s">
        <v>104</v>
      </c>
    </row>
    <row r="120" customFormat="false" ht="15" hidden="false" customHeight="false" outlineLevel="0" collapsed="false">
      <c r="A120" s="0" t="n">
        <v>11703</v>
      </c>
      <c r="B120" s="0" t="s">
        <v>105</v>
      </c>
    </row>
    <row r="121" customFormat="false" ht="15" hidden="false" customHeight="false" outlineLevel="0" collapsed="false">
      <c r="A121" s="0" t="n">
        <v>11720</v>
      </c>
      <c r="B121" s="0" t="n">
        <v>1641148000178</v>
      </c>
    </row>
    <row r="122" customFormat="false" ht="15" hidden="false" customHeight="false" outlineLevel="0" collapsed="false">
      <c r="A122" s="0" t="n">
        <v>11797</v>
      </c>
      <c r="B122" s="0" t="s">
        <v>106</v>
      </c>
    </row>
    <row r="123" customFormat="false" ht="15" hidden="false" customHeight="false" outlineLevel="0" collapsed="false">
      <c r="A123" s="0" t="n">
        <v>11843</v>
      </c>
      <c r="B123" s="0" t="s">
        <v>107</v>
      </c>
    </row>
    <row r="124" customFormat="false" ht="15" hidden="false" customHeight="false" outlineLevel="0" collapsed="false">
      <c r="A124" s="0" t="n">
        <v>11851</v>
      </c>
      <c r="B124" s="0" t="s">
        <v>108</v>
      </c>
    </row>
    <row r="125" customFormat="false" ht="15" hidden="false" customHeight="false" outlineLevel="0" collapsed="false">
      <c r="A125" s="0" t="n">
        <v>11886</v>
      </c>
      <c r="B125" s="0" t="s">
        <v>109</v>
      </c>
    </row>
    <row r="126" customFormat="false" ht="15" hidden="false" customHeight="false" outlineLevel="0" collapsed="false">
      <c r="A126" s="0" t="n">
        <v>11894</v>
      </c>
      <c r="B126" s="0" t="s">
        <v>110</v>
      </c>
    </row>
    <row r="127" customFormat="false" ht="15" hidden="false" customHeight="false" outlineLevel="0" collapsed="false">
      <c r="A127" s="0" t="n">
        <v>11932</v>
      </c>
      <c r="B127" s="0" t="s">
        <v>111</v>
      </c>
    </row>
    <row r="128" customFormat="false" ht="15" hidden="false" customHeight="false" outlineLevel="0" collapsed="false">
      <c r="A128" s="0" t="n">
        <v>11940</v>
      </c>
      <c r="B128" s="0" t="s">
        <v>112</v>
      </c>
    </row>
    <row r="129" customFormat="false" ht="15" hidden="false" customHeight="false" outlineLevel="0" collapsed="false">
      <c r="A129" s="0" t="n">
        <v>11959</v>
      </c>
      <c r="B129" s="0" t="s">
        <v>113</v>
      </c>
    </row>
    <row r="130" customFormat="false" ht="15" hidden="false" customHeight="false" outlineLevel="0" collapsed="false">
      <c r="A130" s="0" t="n">
        <v>11967</v>
      </c>
      <c r="B130" s="0" t="s">
        <v>114</v>
      </c>
    </row>
    <row r="131" customFormat="false" ht="15" hidden="false" customHeight="false" outlineLevel="0" collapsed="false">
      <c r="A131" s="0" t="n">
        <v>11975</v>
      </c>
      <c r="B131" s="0" t="s">
        <v>115</v>
      </c>
    </row>
    <row r="132" customFormat="false" ht="15" hidden="false" customHeight="false" outlineLevel="0" collapsed="false">
      <c r="A132" s="0" t="n">
        <v>11991</v>
      </c>
      <c r="B132" s="0" t="s">
        <v>116</v>
      </c>
    </row>
    <row r="133" customFormat="false" ht="15" hidden="false" customHeight="false" outlineLevel="0" collapsed="false">
      <c r="A133" s="0" t="n">
        <v>12017</v>
      </c>
      <c r="B133" s="0" t="s">
        <v>117</v>
      </c>
    </row>
    <row r="134" customFormat="false" ht="15" hidden="false" customHeight="false" outlineLevel="0" collapsed="false">
      <c r="A134" s="0" t="n">
        <v>12025</v>
      </c>
      <c r="B134" s="0" t="s">
        <v>118</v>
      </c>
    </row>
    <row r="135" customFormat="false" ht="15" hidden="false" customHeight="false" outlineLevel="0" collapsed="false">
      <c r="A135" s="0" t="n">
        <v>12050</v>
      </c>
      <c r="B135" s="0" t="s">
        <v>119</v>
      </c>
    </row>
    <row r="136" customFormat="false" ht="15" hidden="false" customHeight="false" outlineLevel="0" collapsed="false">
      <c r="A136" s="0" t="n">
        <v>12084</v>
      </c>
      <c r="B136" s="0" t="s">
        <v>120</v>
      </c>
    </row>
    <row r="137" customFormat="false" ht="15" hidden="false" customHeight="false" outlineLevel="0" collapsed="false">
      <c r="A137" s="0" t="n">
        <v>12106</v>
      </c>
      <c r="B137" s="0" t="s">
        <v>121</v>
      </c>
    </row>
    <row r="138" customFormat="false" ht="15" hidden="false" customHeight="false" outlineLevel="0" collapsed="false">
      <c r="A138" s="0" t="n">
        <v>12114</v>
      </c>
      <c r="B138" s="0" t="s">
        <v>122</v>
      </c>
    </row>
    <row r="139" customFormat="false" ht="15" hidden="false" customHeight="false" outlineLevel="0" collapsed="false">
      <c r="A139" s="0" t="n">
        <v>12122</v>
      </c>
      <c r="B139" s="0" t="s">
        <v>123</v>
      </c>
    </row>
    <row r="140" customFormat="false" ht="15" hidden="false" customHeight="false" outlineLevel="0" collapsed="false">
      <c r="A140" s="0" t="n">
        <v>12130</v>
      </c>
      <c r="B140" s="0" t="s">
        <v>124</v>
      </c>
    </row>
    <row r="141" customFormat="false" ht="15" hidden="false" customHeight="false" outlineLevel="0" collapsed="false">
      <c r="A141" s="0" t="n">
        <v>12149</v>
      </c>
      <c r="B141" s="0" t="s">
        <v>125</v>
      </c>
    </row>
    <row r="142" customFormat="false" ht="15" hidden="false" customHeight="false" outlineLevel="0" collapsed="false">
      <c r="A142" s="0" t="n">
        <v>12157</v>
      </c>
      <c r="B142" s="0" t="s">
        <v>126</v>
      </c>
    </row>
    <row r="143" customFormat="false" ht="15" hidden="false" customHeight="false" outlineLevel="0" collapsed="false">
      <c r="A143" s="0" t="n">
        <v>12173</v>
      </c>
      <c r="B143" s="0" t="n">
        <v>2493406000189</v>
      </c>
    </row>
    <row r="144" customFormat="false" ht="15" hidden="false" customHeight="false" outlineLevel="0" collapsed="false">
      <c r="A144" s="0" t="n">
        <v>12181</v>
      </c>
      <c r="B144" s="0" t="s">
        <v>127</v>
      </c>
    </row>
    <row r="145" customFormat="false" ht="15" hidden="false" customHeight="false" outlineLevel="0" collapsed="false">
      <c r="A145" s="0" t="n">
        <v>12190</v>
      </c>
      <c r="B145" s="0" t="n">
        <v>2155272000196</v>
      </c>
    </row>
    <row r="146" customFormat="false" ht="15" hidden="false" customHeight="false" outlineLevel="0" collapsed="false">
      <c r="A146" s="0" t="n">
        <v>12238</v>
      </c>
      <c r="B146" s="0" t="s">
        <v>128</v>
      </c>
    </row>
    <row r="147" customFormat="false" ht="15" hidden="false" customHeight="false" outlineLevel="0" collapsed="false">
      <c r="A147" s="0" t="n">
        <v>12246</v>
      </c>
      <c r="B147" s="0" t="s">
        <v>129</v>
      </c>
    </row>
    <row r="148" customFormat="false" ht="15" hidden="false" customHeight="false" outlineLevel="0" collapsed="false">
      <c r="A148" s="0" t="n">
        <v>12254</v>
      </c>
      <c r="B148" s="0" t="s">
        <v>130</v>
      </c>
    </row>
    <row r="149" customFormat="false" ht="15" hidden="false" customHeight="false" outlineLevel="0" collapsed="false">
      <c r="A149" s="0" t="n">
        <v>12262</v>
      </c>
      <c r="B149" s="0" t="s">
        <v>131</v>
      </c>
    </row>
    <row r="150" customFormat="false" ht="15" hidden="false" customHeight="false" outlineLevel="0" collapsed="false">
      <c r="A150" s="0" t="n">
        <v>12289</v>
      </c>
      <c r="B150" s="0" t="s">
        <v>132</v>
      </c>
    </row>
    <row r="151" customFormat="false" ht="15" hidden="false" customHeight="false" outlineLevel="0" collapsed="false">
      <c r="A151" s="0" t="n">
        <v>12300</v>
      </c>
      <c r="B151" s="0" t="s">
        <v>133</v>
      </c>
    </row>
    <row r="152" customFormat="false" ht="15" hidden="false" customHeight="false" outlineLevel="0" collapsed="false">
      <c r="A152" s="0" t="n">
        <v>12319</v>
      </c>
      <c r="B152" s="0" t="s">
        <v>134</v>
      </c>
    </row>
    <row r="153" customFormat="false" ht="15" hidden="false" customHeight="false" outlineLevel="0" collapsed="false">
      <c r="A153" s="0" t="n">
        <v>12327</v>
      </c>
      <c r="B153" s="0" t="s">
        <v>135</v>
      </c>
    </row>
    <row r="154" customFormat="false" ht="15" hidden="false" customHeight="false" outlineLevel="0" collapsed="false">
      <c r="A154" s="0" t="n">
        <v>12335</v>
      </c>
      <c r="B154" s="0" t="s">
        <v>136</v>
      </c>
    </row>
    <row r="155" customFormat="false" ht="15" hidden="false" customHeight="false" outlineLevel="0" collapsed="false">
      <c r="A155" s="0" t="n">
        <v>12343</v>
      </c>
      <c r="B155" s="0" t="n">
        <v>2705108000105</v>
      </c>
    </row>
    <row r="156" customFormat="false" ht="15" hidden="false" customHeight="false" outlineLevel="0" collapsed="false">
      <c r="A156" s="0" t="n">
        <v>12360</v>
      </c>
      <c r="B156" s="0" t="n">
        <v>3209439000117</v>
      </c>
    </row>
    <row r="157" customFormat="false" ht="15" hidden="false" customHeight="false" outlineLevel="0" collapsed="false">
      <c r="A157" s="0" t="n">
        <v>12378</v>
      </c>
      <c r="B157" s="0" t="s">
        <v>137</v>
      </c>
    </row>
    <row r="158" customFormat="false" ht="15" hidden="false" customHeight="false" outlineLevel="0" collapsed="false">
      <c r="A158" s="0" t="n">
        <v>12386</v>
      </c>
      <c r="B158" s="0" t="s">
        <v>138</v>
      </c>
    </row>
    <row r="159" customFormat="false" ht="15" hidden="false" customHeight="false" outlineLevel="0" collapsed="false">
      <c r="A159" s="0" t="n">
        <v>12394</v>
      </c>
      <c r="B159" s="0" t="s">
        <v>139</v>
      </c>
    </row>
    <row r="160" customFormat="false" ht="15" hidden="false" customHeight="false" outlineLevel="0" collapsed="false">
      <c r="A160" s="0" t="n">
        <v>12440</v>
      </c>
      <c r="B160" s="0" t="s">
        <v>140</v>
      </c>
    </row>
    <row r="161" customFormat="false" ht="15" hidden="false" customHeight="false" outlineLevel="0" collapsed="false">
      <c r="A161" s="0" t="n">
        <v>12475</v>
      </c>
      <c r="B161" s="0" t="s">
        <v>141</v>
      </c>
    </row>
    <row r="162" customFormat="false" ht="15" hidden="false" customHeight="false" outlineLevel="0" collapsed="false">
      <c r="A162" s="0" t="n">
        <v>12505</v>
      </c>
      <c r="B162" s="0" t="s">
        <v>142</v>
      </c>
    </row>
    <row r="163" customFormat="false" ht="15" hidden="false" customHeight="false" outlineLevel="0" collapsed="false">
      <c r="A163" s="0" t="n">
        <v>12513</v>
      </c>
      <c r="B163" s="0" t="s">
        <v>143</v>
      </c>
    </row>
    <row r="164" customFormat="false" ht="15" hidden="false" customHeight="false" outlineLevel="0" collapsed="false">
      <c r="A164" s="0" t="n">
        <v>12548</v>
      </c>
      <c r="B164" s="0" t="s">
        <v>144</v>
      </c>
    </row>
    <row r="165" customFormat="false" ht="15" hidden="false" customHeight="false" outlineLevel="0" collapsed="false">
      <c r="A165" s="0" t="n">
        <v>12556</v>
      </c>
      <c r="B165" s="0" t="s">
        <v>145</v>
      </c>
    </row>
    <row r="166" customFormat="false" ht="15" hidden="false" customHeight="false" outlineLevel="0" collapsed="false">
      <c r="A166" s="0" t="n">
        <v>12564</v>
      </c>
      <c r="B166" s="0" t="s">
        <v>146</v>
      </c>
    </row>
    <row r="167" customFormat="false" ht="15" hidden="false" customHeight="false" outlineLevel="0" collapsed="false">
      <c r="A167" s="0" t="n">
        <v>12580</v>
      </c>
      <c r="B167" s="0" t="s">
        <v>147</v>
      </c>
    </row>
    <row r="168" customFormat="false" ht="15" hidden="false" customHeight="false" outlineLevel="0" collapsed="false">
      <c r="A168" s="0" t="n">
        <v>12599</v>
      </c>
      <c r="B168" s="0" t="s">
        <v>148</v>
      </c>
    </row>
    <row r="169" customFormat="false" ht="15" hidden="false" customHeight="false" outlineLevel="0" collapsed="false">
      <c r="A169" s="0" t="n">
        <v>12602</v>
      </c>
      <c r="B169" s="0" t="n">
        <v>3171307000143</v>
      </c>
    </row>
    <row r="170" customFormat="false" ht="15" hidden="false" customHeight="false" outlineLevel="0" collapsed="false">
      <c r="A170" s="0" t="n">
        <v>12610</v>
      </c>
      <c r="B170" s="0" t="s">
        <v>149</v>
      </c>
    </row>
    <row r="171" customFormat="false" ht="15" hidden="false" customHeight="false" outlineLevel="0" collapsed="false">
      <c r="A171" s="0" t="n">
        <v>12629</v>
      </c>
      <c r="B171" s="0" t="s">
        <v>150</v>
      </c>
    </row>
    <row r="172" customFormat="false" ht="15" hidden="false" customHeight="false" outlineLevel="0" collapsed="false">
      <c r="A172" s="0" t="n">
        <v>12653</v>
      </c>
      <c r="B172" s="0" t="n">
        <v>1994099000157</v>
      </c>
    </row>
    <row r="173" customFormat="false" ht="15" hidden="false" customHeight="false" outlineLevel="0" collapsed="false">
      <c r="A173" s="0" t="n">
        <v>12661</v>
      </c>
      <c r="B173" s="0" t="n">
        <v>1561321000128</v>
      </c>
    </row>
    <row r="174" customFormat="false" ht="15" hidden="false" customHeight="false" outlineLevel="0" collapsed="false">
      <c r="A174" s="0" t="n">
        <v>12670</v>
      </c>
      <c r="B174" s="0" t="s">
        <v>151</v>
      </c>
    </row>
    <row r="175" customFormat="false" ht="15" hidden="false" customHeight="false" outlineLevel="0" collapsed="false">
      <c r="A175" s="0" t="n">
        <v>12688</v>
      </c>
      <c r="B175" s="0" t="s">
        <v>152</v>
      </c>
    </row>
    <row r="176" customFormat="false" ht="15" hidden="false" customHeight="false" outlineLevel="0" collapsed="false">
      <c r="A176" s="0" t="n">
        <v>12700</v>
      </c>
      <c r="B176" s="0" t="s">
        <v>153</v>
      </c>
    </row>
    <row r="177" customFormat="false" ht="15" hidden="false" customHeight="false" outlineLevel="0" collapsed="false">
      <c r="A177" s="0" t="n">
        <v>12718</v>
      </c>
      <c r="B177" s="0" t="s">
        <v>154</v>
      </c>
    </row>
    <row r="178" customFormat="false" ht="15" hidden="false" customHeight="false" outlineLevel="0" collapsed="false">
      <c r="A178" s="0" t="n">
        <v>12726</v>
      </c>
      <c r="B178" s="0" t="s">
        <v>155</v>
      </c>
    </row>
    <row r="179" customFormat="false" ht="15" hidden="false" customHeight="false" outlineLevel="0" collapsed="false">
      <c r="A179" s="0" t="n">
        <v>12742</v>
      </c>
      <c r="B179" s="0" t="s">
        <v>156</v>
      </c>
    </row>
    <row r="180" customFormat="false" ht="15" hidden="false" customHeight="false" outlineLevel="0" collapsed="false">
      <c r="A180" s="0" t="n">
        <v>12785</v>
      </c>
      <c r="B180" s="0" t="s">
        <v>157</v>
      </c>
    </row>
    <row r="181" customFormat="false" ht="15" hidden="false" customHeight="false" outlineLevel="0" collapsed="false">
      <c r="A181" s="0" t="n">
        <v>12815</v>
      </c>
      <c r="B181" s="0" t="s">
        <v>158</v>
      </c>
    </row>
    <row r="182" customFormat="false" ht="15" hidden="false" customHeight="false" outlineLevel="0" collapsed="false">
      <c r="A182" s="0" t="n">
        <v>12831</v>
      </c>
      <c r="B182" s="0" t="s">
        <v>159</v>
      </c>
    </row>
    <row r="183" customFormat="false" ht="15" hidden="false" customHeight="false" outlineLevel="0" collapsed="false">
      <c r="A183" s="0" t="n">
        <v>12858</v>
      </c>
      <c r="B183" s="0" t="n">
        <v>2553871000168</v>
      </c>
    </row>
    <row r="184" customFormat="false" ht="15" hidden="false" customHeight="false" outlineLevel="0" collapsed="false">
      <c r="A184" s="0" t="n">
        <v>12866</v>
      </c>
      <c r="B184" s="0" t="s">
        <v>160</v>
      </c>
    </row>
    <row r="185" customFormat="false" ht="15" hidden="false" customHeight="false" outlineLevel="0" collapsed="false">
      <c r="A185" s="0" t="n">
        <v>12882</v>
      </c>
      <c r="B185" s="0" t="s">
        <v>161</v>
      </c>
    </row>
    <row r="186" customFormat="false" ht="15" hidden="false" customHeight="false" outlineLevel="0" collapsed="false">
      <c r="A186" s="0" t="n">
        <v>12890</v>
      </c>
      <c r="B186" s="0" t="s">
        <v>162</v>
      </c>
    </row>
    <row r="187" customFormat="false" ht="15" hidden="false" customHeight="false" outlineLevel="0" collapsed="false">
      <c r="A187" s="0" t="n">
        <v>12912</v>
      </c>
      <c r="B187" s="0" t="s">
        <v>163</v>
      </c>
    </row>
    <row r="188" customFormat="false" ht="15" hidden="false" customHeight="false" outlineLevel="0" collapsed="false">
      <c r="A188" s="0" t="n">
        <v>12920</v>
      </c>
      <c r="B188" s="0" t="s">
        <v>164</v>
      </c>
    </row>
    <row r="189" customFormat="false" ht="15" hidden="false" customHeight="false" outlineLevel="0" collapsed="false">
      <c r="A189" s="0" t="n">
        <v>12939</v>
      </c>
      <c r="B189" s="0" t="s">
        <v>165</v>
      </c>
    </row>
    <row r="190" customFormat="false" ht="15" hidden="false" customHeight="false" outlineLevel="0" collapsed="false">
      <c r="A190" s="0" t="n">
        <v>12947</v>
      </c>
      <c r="B190" s="0" t="s">
        <v>166</v>
      </c>
    </row>
    <row r="191" customFormat="false" ht="15" hidden="false" customHeight="false" outlineLevel="0" collapsed="false">
      <c r="A191" s="0" t="n">
        <v>12955</v>
      </c>
      <c r="B191" s="0" t="s">
        <v>167</v>
      </c>
    </row>
    <row r="192" customFormat="false" ht="15" hidden="false" customHeight="false" outlineLevel="0" collapsed="false">
      <c r="A192" s="0" t="n">
        <v>12971</v>
      </c>
      <c r="B192" s="0" t="s">
        <v>168</v>
      </c>
    </row>
    <row r="193" customFormat="false" ht="15" hidden="false" customHeight="false" outlineLevel="0" collapsed="false">
      <c r="A193" s="0" t="n">
        <v>12980</v>
      </c>
      <c r="B193" s="0" t="s">
        <v>169</v>
      </c>
    </row>
    <row r="194" customFormat="false" ht="15" hidden="false" customHeight="false" outlineLevel="0" collapsed="false">
      <c r="A194" s="0" t="n">
        <v>13013</v>
      </c>
      <c r="B194" s="0" t="s">
        <v>170</v>
      </c>
    </row>
    <row r="195" customFormat="false" ht="15" hidden="false" customHeight="false" outlineLevel="0" collapsed="false">
      <c r="A195" s="0" t="n">
        <v>13021</v>
      </c>
      <c r="B195" s="0" t="s">
        <v>171</v>
      </c>
    </row>
    <row r="196" customFormat="false" ht="15" hidden="false" customHeight="false" outlineLevel="0" collapsed="false">
      <c r="A196" s="0" t="n">
        <v>13048</v>
      </c>
      <c r="B196" s="0" t="s">
        <v>172</v>
      </c>
    </row>
    <row r="197" customFormat="false" ht="15" hidden="false" customHeight="false" outlineLevel="0" collapsed="false">
      <c r="A197" s="0" t="n">
        <v>13056</v>
      </c>
      <c r="B197" s="0" t="s">
        <v>173</v>
      </c>
    </row>
    <row r="198" customFormat="false" ht="15" hidden="false" customHeight="false" outlineLevel="0" collapsed="false">
      <c r="A198" s="0" t="n">
        <v>13072</v>
      </c>
      <c r="B198" s="0" t="s">
        <v>174</v>
      </c>
    </row>
    <row r="199" customFormat="false" ht="15" hidden="false" customHeight="false" outlineLevel="0" collapsed="false">
      <c r="A199" s="0" t="n">
        <v>13080</v>
      </c>
      <c r="B199" s="0" t="n">
        <v>2035895000125</v>
      </c>
    </row>
    <row r="200" customFormat="false" ht="15" hidden="false" customHeight="false" outlineLevel="0" collapsed="false">
      <c r="A200" s="0" t="n">
        <v>13102</v>
      </c>
      <c r="B200" s="0" t="s">
        <v>175</v>
      </c>
    </row>
    <row r="201" customFormat="false" ht="15" hidden="false" customHeight="false" outlineLevel="0" collapsed="false">
      <c r="A201" s="0" t="n">
        <v>13129</v>
      </c>
      <c r="B201" s="0" t="s">
        <v>176</v>
      </c>
    </row>
    <row r="202" customFormat="false" ht="15" hidden="false" customHeight="false" outlineLevel="0" collapsed="false">
      <c r="A202" s="0" t="n">
        <v>13137</v>
      </c>
      <c r="B202" s="0" t="s">
        <v>177</v>
      </c>
    </row>
    <row r="203" customFormat="false" ht="15" hidden="false" customHeight="false" outlineLevel="0" collapsed="false">
      <c r="A203" s="0" t="n">
        <v>13145</v>
      </c>
      <c r="B203" s="0" t="s">
        <v>178</v>
      </c>
    </row>
    <row r="204" customFormat="false" ht="15" hidden="false" customHeight="false" outlineLevel="0" collapsed="false">
      <c r="A204" s="0" t="n">
        <v>13153</v>
      </c>
      <c r="B204" s="0" t="s">
        <v>179</v>
      </c>
    </row>
    <row r="205" customFormat="false" ht="15" hidden="false" customHeight="false" outlineLevel="0" collapsed="false">
      <c r="A205" s="0" t="n">
        <v>13170</v>
      </c>
      <c r="B205" s="0" t="s">
        <v>180</v>
      </c>
    </row>
    <row r="206" customFormat="false" ht="15" hidden="false" customHeight="false" outlineLevel="0" collapsed="false">
      <c r="A206" s="0" t="n">
        <v>13188</v>
      </c>
      <c r="B206" s="0" t="s">
        <v>181</v>
      </c>
    </row>
    <row r="207" customFormat="false" ht="15" hidden="false" customHeight="false" outlineLevel="0" collapsed="false">
      <c r="A207" s="0" t="n">
        <v>13218</v>
      </c>
      <c r="B207" s="0" t="s">
        <v>182</v>
      </c>
    </row>
    <row r="208" customFormat="false" ht="15" hidden="false" customHeight="false" outlineLevel="0" collapsed="false">
      <c r="A208" s="0" t="n">
        <v>13242</v>
      </c>
      <c r="B208" s="0" t="s">
        <v>183</v>
      </c>
    </row>
    <row r="209" customFormat="false" ht="15" hidden="false" customHeight="false" outlineLevel="0" collapsed="false">
      <c r="A209" s="0" t="n">
        <v>13250</v>
      </c>
      <c r="B209" s="0" t="s">
        <v>184</v>
      </c>
    </row>
    <row r="210" customFormat="false" ht="15" hidden="false" customHeight="false" outlineLevel="0" collapsed="false">
      <c r="A210" s="0" t="n">
        <v>13269</v>
      </c>
      <c r="B210" s="0" t="s">
        <v>185</v>
      </c>
    </row>
    <row r="211" customFormat="false" ht="15" hidden="false" customHeight="false" outlineLevel="0" collapsed="false">
      <c r="A211" s="0" t="n">
        <v>13285</v>
      </c>
      <c r="B211" s="0" t="s">
        <v>186</v>
      </c>
    </row>
    <row r="212" customFormat="false" ht="15" hidden="false" customHeight="false" outlineLevel="0" collapsed="false">
      <c r="A212" s="0" t="n">
        <v>13307</v>
      </c>
      <c r="B212" s="0" t="s">
        <v>187</v>
      </c>
    </row>
    <row r="213" customFormat="false" ht="15" hidden="false" customHeight="false" outlineLevel="0" collapsed="false">
      <c r="A213" s="0" t="n">
        <v>13331</v>
      </c>
      <c r="B213" s="0" t="s">
        <v>188</v>
      </c>
    </row>
    <row r="214" customFormat="false" ht="15" hidden="false" customHeight="false" outlineLevel="0" collapsed="false">
      <c r="A214" s="0" t="n">
        <v>13340</v>
      </c>
      <c r="B214" s="0" t="s">
        <v>189</v>
      </c>
    </row>
    <row r="215" customFormat="false" ht="15" hidden="false" customHeight="false" outlineLevel="0" collapsed="false">
      <c r="A215" s="0" t="n">
        <v>13358</v>
      </c>
      <c r="B215" s="0" t="s">
        <v>190</v>
      </c>
    </row>
    <row r="216" customFormat="false" ht="15" hidden="false" customHeight="false" outlineLevel="0" collapsed="false">
      <c r="A216" s="0" t="n">
        <v>13366</v>
      </c>
      <c r="B216" s="0" t="s">
        <v>191</v>
      </c>
    </row>
    <row r="217" customFormat="false" ht="15" hidden="false" customHeight="false" outlineLevel="0" collapsed="false">
      <c r="A217" s="0" t="n">
        <v>13374</v>
      </c>
      <c r="B217" s="0" t="s">
        <v>192</v>
      </c>
    </row>
    <row r="218" customFormat="false" ht="15" hidden="false" customHeight="false" outlineLevel="0" collapsed="false">
      <c r="A218" s="0" t="n">
        <v>13404</v>
      </c>
      <c r="B218" s="0" t="s">
        <v>193</v>
      </c>
    </row>
    <row r="219" customFormat="false" ht="15" hidden="false" customHeight="false" outlineLevel="0" collapsed="false">
      <c r="A219" s="0" t="n">
        <v>13412</v>
      </c>
      <c r="B219" s="0" t="s">
        <v>194</v>
      </c>
    </row>
    <row r="220" customFormat="false" ht="15" hidden="false" customHeight="false" outlineLevel="0" collapsed="false">
      <c r="A220" s="0" t="n">
        <v>13420</v>
      </c>
      <c r="B220" s="0" t="s">
        <v>195</v>
      </c>
    </row>
    <row r="221" customFormat="false" ht="15" hidden="false" customHeight="false" outlineLevel="0" collapsed="false">
      <c r="A221" s="0" t="n">
        <v>13455</v>
      </c>
      <c r="B221" s="0" t="s">
        <v>196</v>
      </c>
    </row>
    <row r="222" customFormat="false" ht="15" hidden="false" customHeight="false" outlineLevel="0" collapsed="false">
      <c r="A222" s="0" t="n">
        <v>13471</v>
      </c>
      <c r="B222" s="0" t="s">
        <v>197</v>
      </c>
    </row>
    <row r="223" customFormat="false" ht="15" hidden="false" customHeight="false" outlineLevel="0" collapsed="false">
      <c r="A223" s="0" t="n">
        <v>13498</v>
      </c>
      <c r="B223" s="0" t="s">
        <v>198</v>
      </c>
    </row>
    <row r="224" customFormat="false" ht="15" hidden="false" customHeight="false" outlineLevel="0" collapsed="false">
      <c r="A224" s="0" t="n">
        <v>13528</v>
      </c>
      <c r="B224" s="0" t="s">
        <v>199</v>
      </c>
    </row>
    <row r="225" customFormat="false" ht="15" hidden="false" customHeight="false" outlineLevel="0" collapsed="false">
      <c r="A225" s="0" t="n">
        <v>13536</v>
      </c>
      <c r="B225" s="0" t="s">
        <v>200</v>
      </c>
    </row>
    <row r="226" customFormat="false" ht="15" hidden="false" customHeight="false" outlineLevel="0" collapsed="false">
      <c r="A226" s="0" t="n">
        <v>13544</v>
      </c>
      <c r="B226" s="0" t="s">
        <v>201</v>
      </c>
    </row>
    <row r="227" customFormat="false" ht="15" hidden="false" customHeight="false" outlineLevel="0" collapsed="false">
      <c r="A227" s="0" t="n">
        <v>13552</v>
      </c>
      <c r="B227" s="0" t="s">
        <v>202</v>
      </c>
    </row>
    <row r="228" customFormat="false" ht="15" hidden="false" customHeight="false" outlineLevel="0" collapsed="false">
      <c r="A228" s="0" t="n">
        <v>13560</v>
      </c>
      <c r="B228" s="0" t="s">
        <v>203</v>
      </c>
    </row>
    <row r="229" customFormat="false" ht="15" hidden="false" customHeight="false" outlineLevel="0" collapsed="false">
      <c r="A229" s="0" t="n">
        <v>13595</v>
      </c>
      <c r="B229" s="0" t="s">
        <v>204</v>
      </c>
    </row>
    <row r="230" customFormat="false" ht="15" hidden="false" customHeight="false" outlineLevel="0" collapsed="false">
      <c r="A230" s="0" t="n">
        <v>13609</v>
      </c>
      <c r="B230" s="0" t="s">
        <v>205</v>
      </c>
    </row>
    <row r="231" customFormat="false" ht="15" hidden="false" customHeight="false" outlineLevel="0" collapsed="false">
      <c r="A231" s="0" t="n">
        <v>13617</v>
      </c>
      <c r="B231" s="0" t="s">
        <v>206</v>
      </c>
    </row>
    <row r="232" customFormat="false" ht="15" hidden="false" customHeight="false" outlineLevel="0" collapsed="false">
      <c r="A232" s="0" t="n">
        <v>13625</v>
      </c>
      <c r="B232" s="0" t="s">
        <v>207</v>
      </c>
    </row>
    <row r="233" customFormat="false" ht="15" hidden="false" customHeight="false" outlineLevel="0" collapsed="false">
      <c r="A233" s="0" t="n">
        <v>13633</v>
      </c>
      <c r="B233" s="0" t="s">
        <v>208</v>
      </c>
    </row>
    <row r="234" customFormat="false" ht="15" hidden="false" customHeight="false" outlineLevel="0" collapsed="false">
      <c r="A234" s="0" t="n">
        <v>13641</v>
      </c>
      <c r="B234" s="0" t="s">
        <v>209</v>
      </c>
    </row>
    <row r="235" customFormat="false" ht="15" hidden="false" customHeight="false" outlineLevel="0" collapsed="false">
      <c r="A235" s="0" t="n">
        <v>13692</v>
      </c>
      <c r="B235" s="0" t="s">
        <v>210</v>
      </c>
    </row>
    <row r="236" customFormat="false" ht="15" hidden="false" customHeight="false" outlineLevel="0" collapsed="false">
      <c r="A236" s="0" t="n">
        <v>13706</v>
      </c>
      <c r="B236" s="0" t="s">
        <v>211</v>
      </c>
    </row>
    <row r="237" customFormat="false" ht="15" hidden="false" customHeight="false" outlineLevel="0" collapsed="false">
      <c r="A237" s="0" t="n">
        <v>13730</v>
      </c>
      <c r="B237" s="0" t="s">
        <v>212</v>
      </c>
    </row>
    <row r="238" customFormat="false" ht="15" hidden="false" customHeight="false" outlineLevel="0" collapsed="false">
      <c r="A238" s="0" t="n">
        <v>13749</v>
      </c>
      <c r="B238" s="0" t="n">
        <v>2826177000177</v>
      </c>
    </row>
    <row r="239" customFormat="false" ht="15" hidden="false" customHeight="false" outlineLevel="0" collapsed="false">
      <c r="A239" s="0" t="n">
        <v>13757</v>
      </c>
      <c r="B239" s="0" t="s">
        <v>213</v>
      </c>
    </row>
    <row r="240" customFormat="false" ht="15" hidden="false" customHeight="false" outlineLevel="0" collapsed="false">
      <c r="A240" s="0" t="n">
        <v>13765</v>
      </c>
      <c r="B240" s="0" t="s">
        <v>214</v>
      </c>
    </row>
    <row r="241" customFormat="false" ht="15" hidden="false" customHeight="false" outlineLevel="0" collapsed="false">
      <c r="A241" s="0" t="n">
        <v>13773</v>
      </c>
      <c r="B241" s="0" t="s">
        <v>215</v>
      </c>
    </row>
    <row r="242" customFormat="false" ht="15" hidden="false" customHeight="false" outlineLevel="0" collapsed="false">
      <c r="A242" s="0" t="n">
        <v>13781</v>
      </c>
      <c r="B242" s="0" t="s">
        <v>216</v>
      </c>
    </row>
    <row r="243" customFormat="false" ht="15" hidden="false" customHeight="false" outlineLevel="0" collapsed="false">
      <c r="A243" s="0" t="n">
        <v>13803</v>
      </c>
      <c r="B243" s="0" t="s">
        <v>217</v>
      </c>
    </row>
    <row r="244" customFormat="false" ht="15" hidden="false" customHeight="false" outlineLevel="0" collapsed="false">
      <c r="A244" s="0" t="n">
        <v>13838</v>
      </c>
      <c r="B244" s="0" t="s">
        <v>218</v>
      </c>
    </row>
    <row r="245" customFormat="false" ht="15" hidden="false" customHeight="false" outlineLevel="0" collapsed="false">
      <c r="A245" s="0" t="n">
        <v>13889</v>
      </c>
      <c r="B245" s="0" t="s">
        <v>219</v>
      </c>
    </row>
    <row r="246" customFormat="false" ht="15" hidden="false" customHeight="false" outlineLevel="0" collapsed="false">
      <c r="A246" s="0" t="n">
        <v>13897</v>
      </c>
      <c r="B246" s="0" t="s">
        <v>220</v>
      </c>
    </row>
    <row r="247" customFormat="false" ht="15" hidden="false" customHeight="false" outlineLevel="0" collapsed="false">
      <c r="A247" s="0" t="n">
        <v>13919</v>
      </c>
      <c r="B247" s="0" t="s">
        <v>221</v>
      </c>
    </row>
    <row r="248" customFormat="false" ht="15" hidden="false" customHeight="false" outlineLevel="0" collapsed="false">
      <c r="A248" s="0" t="n">
        <v>13927</v>
      </c>
      <c r="B248" s="0" t="s">
        <v>222</v>
      </c>
    </row>
    <row r="249" customFormat="false" ht="15" hidden="false" customHeight="false" outlineLevel="0" collapsed="false">
      <c r="A249" s="0" t="n">
        <v>13935</v>
      </c>
      <c r="B249" s="0" t="s">
        <v>223</v>
      </c>
    </row>
    <row r="250" customFormat="false" ht="15" hidden="false" customHeight="false" outlineLevel="0" collapsed="false">
      <c r="A250" s="0" t="n">
        <v>13943</v>
      </c>
      <c r="B250" s="0" t="s">
        <v>224</v>
      </c>
    </row>
    <row r="251" customFormat="false" ht="15" hidden="false" customHeight="false" outlineLevel="0" collapsed="false">
      <c r="A251" s="0" t="n">
        <v>13951</v>
      </c>
      <c r="B251" s="0" t="s">
        <v>225</v>
      </c>
    </row>
    <row r="252" customFormat="false" ht="15" hidden="false" customHeight="false" outlineLevel="0" collapsed="false">
      <c r="A252" s="0" t="n">
        <v>13960</v>
      </c>
    </row>
    <row r="253" customFormat="false" ht="15" hidden="false" customHeight="false" outlineLevel="0" collapsed="false">
      <c r="A253" s="0" t="n">
        <v>14036</v>
      </c>
      <c r="B253" s="0" t="s">
        <v>226</v>
      </c>
    </row>
    <row r="254" customFormat="false" ht="15" hidden="false" customHeight="false" outlineLevel="0" collapsed="false">
      <c r="A254" s="0" t="n">
        <v>14044</v>
      </c>
      <c r="B254" s="0" t="s">
        <v>227</v>
      </c>
    </row>
    <row r="255" customFormat="false" ht="15" hidden="false" customHeight="false" outlineLevel="0" collapsed="false">
      <c r="A255" s="0" t="n">
        <v>14087</v>
      </c>
      <c r="B255" s="0" t="s">
        <v>228</v>
      </c>
    </row>
    <row r="256" customFormat="false" ht="15" hidden="false" customHeight="false" outlineLevel="0" collapsed="false">
      <c r="A256" s="0" t="n">
        <v>14095</v>
      </c>
      <c r="B256" s="0" t="s">
        <v>229</v>
      </c>
    </row>
    <row r="257" customFormat="false" ht="15" hidden="false" customHeight="false" outlineLevel="0" collapsed="false">
      <c r="A257" s="0" t="n">
        <v>14141</v>
      </c>
      <c r="B257" s="0" t="n">
        <v>3110292000103</v>
      </c>
    </row>
    <row r="258" customFormat="false" ht="15" hidden="false" customHeight="false" outlineLevel="0" collapsed="false">
      <c r="A258" s="0" t="n">
        <v>14150</v>
      </c>
      <c r="B258" s="0" t="s">
        <v>230</v>
      </c>
    </row>
    <row r="259" customFormat="false" ht="15" hidden="false" customHeight="false" outlineLevel="0" collapsed="false">
      <c r="A259" s="0" t="n">
        <v>14176</v>
      </c>
      <c r="B259" s="0" t="n">
        <v>3175176000172</v>
      </c>
    </row>
    <row r="260" customFormat="false" ht="15" hidden="false" customHeight="false" outlineLevel="0" collapsed="false">
      <c r="A260" s="0" t="n">
        <v>14184</v>
      </c>
      <c r="B260" s="0" t="s">
        <v>231</v>
      </c>
    </row>
    <row r="261" customFormat="false" ht="15" hidden="false" customHeight="false" outlineLevel="0" collapsed="false">
      <c r="A261" s="0" t="n">
        <v>14192</v>
      </c>
      <c r="B261" s="0" t="s">
        <v>232</v>
      </c>
    </row>
    <row r="262" customFormat="false" ht="15" hidden="false" customHeight="false" outlineLevel="0" collapsed="false">
      <c r="A262" s="0" t="n">
        <v>14206</v>
      </c>
      <c r="B262" s="0" t="s">
        <v>233</v>
      </c>
    </row>
    <row r="263" customFormat="false" ht="15" hidden="false" customHeight="false" outlineLevel="0" collapsed="false">
      <c r="A263" s="0" t="n">
        <v>14214</v>
      </c>
      <c r="B263" s="0" t="s">
        <v>234</v>
      </c>
    </row>
    <row r="264" customFormat="false" ht="15" hidden="false" customHeight="false" outlineLevel="0" collapsed="false">
      <c r="A264" s="0" t="n">
        <v>14222</v>
      </c>
      <c r="B264" s="0" t="s">
        <v>235</v>
      </c>
    </row>
    <row r="265" customFormat="false" ht="15" hidden="false" customHeight="false" outlineLevel="0" collapsed="false">
      <c r="A265" s="0" t="n">
        <v>14230</v>
      </c>
      <c r="B265" s="0" t="s">
        <v>236</v>
      </c>
    </row>
    <row r="266" customFormat="false" ht="15" hidden="false" customHeight="false" outlineLevel="0" collapsed="false">
      <c r="A266" s="0" t="n">
        <v>14303</v>
      </c>
      <c r="B266" s="0" t="s">
        <v>237</v>
      </c>
    </row>
    <row r="267" customFormat="false" ht="15" hidden="false" customHeight="false" outlineLevel="0" collapsed="false">
      <c r="A267" s="0" t="n">
        <v>14320</v>
      </c>
      <c r="B267" s="0" t="s">
        <v>238</v>
      </c>
    </row>
    <row r="268" customFormat="false" ht="15" hidden="false" customHeight="false" outlineLevel="0" collapsed="false">
      <c r="A268" s="0" t="n">
        <v>14362</v>
      </c>
      <c r="B268" s="0" t="n">
        <v>4527087000100</v>
      </c>
    </row>
    <row r="269" customFormat="false" ht="15" hidden="false" customHeight="false" outlineLevel="0" collapsed="false">
      <c r="A269" s="0" t="n">
        <v>14389</v>
      </c>
      <c r="B269" s="0" t="n">
        <v>1824737000191</v>
      </c>
    </row>
    <row r="270" customFormat="false" ht="15" hidden="false" customHeight="false" outlineLevel="0" collapsed="false">
      <c r="A270" s="0" t="n">
        <v>14397</v>
      </c>
      <c r="B270" s="0" t="n">
        <v>609824000163</v>
      </c>
    </row>
    <row r="271" customFormat="false" ht="15" hidden="false" customHeight="false" outlineLevel="0" collapsed="false">
      <c r="A271" s="0" t="n">
        <v>14419</v>
      </c>
      <c r="B271" s="0" t="s">
        <v>239</v>
      </c>
    </row>
    <row r="272" customFormat="false" ht="15" hidden="false" customHeight="false" outlineLevel="0" collapsed="false">
      <c r="A272" s="0" t="n">
        <v>14435</v>
      </c>
      <c r="B272" s="0" t="s">
        <v>240</v>
      </c>
    </row>
    <row r="273" customFormat="false" ht="15" hidden="false" customHeight="false" outlineLevel="0" collapsed="false">
      <c r="A273" s="0" t="n">
        <v>14451</v>
      </c>
      <c r="B273" s="0" t="s">
        <v>241</v>
      </c>
    </row>
    <row r="274" customFormat="false" ht="15" hidden="false" customHeight="false" outlineLevel="0" collapsed="false">
      <c r="A274" s="0" t="n">
        <v>14460</v>
      </c>
      <c r="B274" s="0" t="s">
        <v>242</v>
      </c>
    </row>
    <row r="275" customFormat="false" ht="15" hidden="false" customHeight="false" outlineLevel="0" collapsed="false">
      <c r="A275" s="0" t="n">
        <v>14478</v>
      </c>
      <c r="B275" s="0" t="s">
        <v>243</v>
      </c>
    </row>
    <row r="276" customFormat="false" ht="15" hidden="false" customHeight="false" outlineLevel="0" collapsed="false">
      <c r="A276" s="0" t="n">
        <v>14486</v>
      </c>
      <c r="B276" s="0" t="s">
        <v>244</v>
      </c>
    </row>
    <row r="277" customFormat="false" ht="15" hidden="false" customHeight="false" outlineLevel="0" collapsed="false">
      <c r="A277" s="0" t="n">
        <v>14508</v>
      </c>
      <c r="B277" s="0" t="s">
        <v>245</v>
      </c>
    </row>
    <row r="278" customFormat="false" ht="15" hidden="false" customHeight="false" outlineLevel="0" collapsed="false">
      <c r="A278" s="0" t="n">
        <v>14516</v>
      </c>
      <c r="B278" s="0" t="s">
        <v>246</v>
      </c>
    </row>
    <row r="279" customFormat="false" ht="15" hidden="false" customHeight="false" outlineLevel="0" collapsed="false">
      <c r="A279" s="0" t="n">
        <v>14532</v>
      </c>
      <c r="B279" s="0" t="s">
        <v>247</v>
      </c>
    </row>
    <row r="280" customFormat="false" ht="15" hidden="false" customHeight="false" outlineLevel="0" collapsed="false">
      <c r="A280" s="0" t="n">
        <v>14567</v>
      </c>
      <c r="B280" s="0" t="s">
        <v>248</v>
      </c>
    </row>
    <row r="281" customFormat="false" ht="15" hidden="false" customHeight="false" outlineLevel="0" collapsed="false">
      <c r="A281" s="0" t="n">
        <v>14575</v>
      </c>
      <c r="B281" s="0" t="s">
        <v>249</v>
      </c>
    </row>
    <row r="282" customFormat="false" ht="15" hidden="false" customHeight="false" outlineLevel="0" collapsed="false">
      <c r="A282" s="0" t="n">
        <v>14591</v>
      </c>
      <c r="B282" s="0" t="s">
        <v>250</v>
      </c>
    </row>
    <row r="283" customFormat="false" ht="15" hidden="false" customHeight="false" outlineLevel="0" collapsed="false">
      <c r="A283" s="0" t="n">
        <v>14613</v>
      </c>
      <c r="B283" s="0" t="s">
        <v>251</v>
      </c>
    </row>
    <row r="284" customFormat="false" ht="15" hidden="false" customHeight="false" outlineLevel="0" collapsed="false">
      <c r="A284" s="0" t="n">
        <v>14621</v>
      </c>
      <c r="B284" s="0" t="n">
        <v>3212841000150</v>
      </c>
    </row>
    <row r="285" customFormat="false" ht="15" hidden="false" customHeight="false" outlineLevel="0" collapsed="false">
      <c r="A285" s="0" t="n">
        <v>14630</v>
      </c>
      <c r="B285" s="0" t="s">
        <v>252</v>
      </c>
    </row>
    <row r="286" customFormat="false" ht="15" hidden="false" customHeight="false" outlineLevel="0" collapsed="false">
      <c r="A286" s="0" t="n">
        <v>14648</v>
      </c>
      <c r="B286" s="0" t="s">
        <v>253</v>
      </c>
    </row>
    <row r="287" customFormat="false" ht="15" hidden="false" customHeight="false" outlineLevel="0" collapsed="false">
      <c r="A287" s="0" t="n">
        <v>14729</v>
      </c>
      <c r="B287" s="0" t="s">
        <v>254</v>
      </c>
    </row>
    <row r="288" customFormat="false" ht="15" hidden="false" customHeight="false" outlineLevel="0" collapsed="false">
      <c r="A288" s="0" t="n">
        <v>14761</v>
      </c>
      <c r="B288" s="0" t="s">
        <v>255</v>
      </c>
    </row>
    <row r="289" customFormat="false" ht="15" hidden="false" customHeight="false" outlineLevel="0" collapsed="false">
      <c r="A289" s="0" t="n">
        <v>14796</v>
      </c>
      <c r="B289" s="0" t="s">
        <v>256</v>
      </c>
    </row>
    <row r="290" customFormat="false" ht="15" hidden="false" customHeight="false" outlineLevel="0" collapsed="false">
      <c r="A290" s="0" t="n">
        <v>14818</v>
      </c>
      <c r="B290" s="0" t="n">
        <v>1584331000189</v>
      </c>
    </row>
    <row r="291" customFormat="false" ht="15" hidden="false" customHeight="false" outlineLevel="0" collapsed="false">
      <c r="A291" s="0" t="n">
        <v>14826</v>
      </c>
      <c r="B291" s="0" t="s">
        <v>257</v>
      </c>
    </row>
    <row r="292" customFormat="false" ht="15" hidden="false" customHeight="false" outlineLevel="0" collapsed="false">
      <c r="A292" s="0" t="n">
        <v>14850</v>
      </c>
      <c r="B292" s="0" t="s">
        <v>258</v>
      </c>
    </row>
    <row r="293" customFormat="false" ht="15" hidden="false" customHeight="false" outlineLevel="0" collapsed="false">
      <c r="A293" s="0" t="n">
        <v>14869</v>
      </c>
      <c r="B293" s="0" t="s">
        <v>259</v>
      </c>
    </row>
    <row r="294" customFormat="false" ht="15" hidden="false" customHeight="false" outlineLevel="0" collapsed="false">
      <c r="A294" s="0" t="n">
        <v>14877</v>
      </c>
      <c r="B294" s="0" t="s">
        <v>260</v>
      </c>
    </row>
    <row r="295" customFormat="false" ht="15" hidden="false" customHeight="false" outlineLevel="0" collapsed="false">
      <c r="A295" s="0" t="n">
        <v>14885</v>
      </c>
      <c r="B295" s="0" t="s">
        <v>261</v>
      </c>
    </row>
    <row r="296" customFormat="false" ht="15" hidden="false" customHeight="false" outlineLevel="0" collapsed="false">
      <c r="A296" s="0" t="n">
        <v>14893</v>
      </c>
      <c r="B296" s="0" t="s">
        <v>262</v>
      </c>
    </row>
    <row r="297" customFormat="false" ht="15" hidden="false" customHeight="false" outlineLevel="0" collapsed="false">
      <c r="A297" s="0" t="n">
        <v>14915</v>
      </c>
      <c r="B297" s="0" t="n">
        <v>1548274000182</v>
      </c>
    </row>
    <row r="298" customFormat="false" ht="15" hidden="false" customHeight="false" outlineLevel="0" collapsed="false">
      <c r="A298" s="0" t="n">
        <v>14931</v>
      </c>
      <c r="B298" s="0" t="n">
        <v>2723568000166</v>
      </c>
    </row>
    <row r="299" customFormat="false" ht="15" hidden="false" customHeight="false" outlineLevel="0" collapsed="false">
      <c r="A299" s="0" t="n">
        <v>14940</v>
      </c>
      <c r="B299" s="0" t="s">
        <v>263</v>
      </c>
    </row>
    <row r="300" customFormat="false" ht="15" hidden="false" customHeight="false" outlineLevel="0" collapsed="false">
      <c r="A300" s="0" t="n">
        <v>14958</v>
      </c>
      <c r="B300" s="0" t="s">
        <v>264</v>
      </c>
    </row>
    <row r="301" customFormat="false" ht="15" hidden="false" customHeight="false" outlineLevel="0" collapsed="false">
      <c r="A301" s="0" t="n">
        <v>14966</v>
      </c>
      <c r="B301" s="0" t="s">
        <v>265</v>
      </c>
    </row>
    <row r="302" customFormat="false" ht="15" hidden="false" customHeight="false" outlineLevel="0" collapsed="false">
      <c r="A302" s="0" t="n">
        <v>14982</v>
      </c>
      <c r="B302" s="0" t="s">
        <v>266</v>
      </c>
    </row>
    <row r="303" customFormat="false" ht="15" hidden="false" customHeight="false" outlineLevel="0" collapsed="false">
      <c r="A303" s="0" t="n">
        <v>15008</v>
      </c>
      <c r="B303" s="0" t="s">
        <v>267</v>
      </c>
    </row>
    <row r="304" customFormat="false" ht="15" hidden="false" customHeight="false" outlineLevel="0" collapsed="false">
      <c r="A304" s="0" t="n">
        <v>15032</v>
      </c>
      <c r="B304" s="0" t="s">
        <v>268</v>
      </c>
    </row>
    <row r="305" customFormat="false" ht="15" hidden="false" customHeight="false" outlineLevel="0" collapsed="false">
      <c r="A305" s="0" t="n">
        <v>15059</v>
      </c>
      <c r="B305" s="0" t="s">
        <v>269</v>
      </c>
    </row>
    <row r="306" customFormat="false" ht="15" hidden="false" customHeight="false" outlineLevel="0" collapsed="false">
      <c r="A306" s="0" t="n">
        <v>15067</v>
      </c>
      <c r="B306" s="0" t="s">
        <v>270</v>
      </c>
    </row>
    <row r="307" customFormat="false" ht="15" hidden="false" customHeight="false" outlineLevel="0" collapsed="false">
      <c r="A307" s="0" t="n">
        <v>15075</v>
      </c>
      <c r="B307" s="0" t="s">
        <v>271</v>
      </c>
    </row>
    <row r="308" customFormat="false" ht="15" hidden="false" customHeight="false" outlineLevel="0" collapsed="false">
      <c r="A308" s="0" t="n">
        <v>15091</v>
      </c>
      <c r="B308" s="0" t="s">
        <v>272</v>
      </c>
    </row>
    <row r="309" customFormat="false" ht="15" hidden="false" customHeight="false" outlineLevel="0" collapsed="false">
      <c r="A309" s="0" t="n">
        <v>15105</v>
      </c>
      <c r="B309" s="0" t="s">
        <v>273</v>
      </c>
    </row>
    <row r="310" customFormat="false" ht="15" hidden="false" customHeight="false" outlineLevel="0" collapsed="false">
      <c r="A310" s="0" t="n">
        <v>15130</v>
      </c>
      <c r="B310" s="0" t="s">
        <v>274</v>
      </c>
    </row>
    <row r="311" customFormat="false" ht="15" hidden="false" customHeight="false" outlineLevel="0" collapsed="false">
      <c r="A311" s="0" t="n">
        <v>15172</v>
      </c>
      <c r="B311" s="0" t="s">
        <v>275</v>
      </c>
    </row>
    <row r="312" customFormat="false" ht="15" hidden="false" customHeight="false" outlineLevel="0" collapsed="false">
      <c r="A312" s="0" t="n">
        <v>15180</v>
      </c>
      <c r="B312" s="0" t="s">
        <v>276</v>
      </c>
    </row>
    <row r="313" customFormat="false" ht="15" hidden="false" customHeight="false" outlineLevel="0" collapsed="false">
      <c r="A313" s="0" t="n">
        <v>15210</v>
      </c>
      <c r="B313" s="0" t="s">
        <v>277</v>
      </c>
    </row>
    <row r="314" customFormat="false" ht="15" hidden="false" customHeight="false" outlineLevel="0" collapsed="false">
      <c r="A314" s="0" t="n">
        <v>15237</v>
      </c>
      <c r="B314" s="0" t="s">
        <v>278</v>
      </c>
    </row>
    <row r="315" customFormat="false" ht="15" hidden="false" customHeight="false" outlineLevel="0" collapsed="false">
      <c r="A315" s="0" t="n">
        <v>15253</v>
      </c>
      <c r="B315" s="0" t="s">
        <v>279</v>
      </c>
    </row>
    <row r="316" customFormat="false" ht="15" hidden="false" customHeight="false" outlineLevel="0" collapsed="false">
      <c r="A316" s="0" t="n">
        <v>15261</v>
      </c>
      <c r="B316" s="0" t="s">
        <v>280</v>
      </c>
    </row>
    <row r="317" customFormat="false" ht="15" hidden="false" customHeight="false" outlineLevel="0" collapsed="false">
      <c r="A317" s="0" t="n">
        <v>15288</v>
      </c>
      <c r="B317" s="0" t="n">
        <v>1590240000156</v>
      </c>
    </row>
    <row r="318" customFormat="false" ht="15" hidden="false" customHeight="false" outlineLevel="0" collapsed="false">
      <c r="A318" s="0" t="n">
        <v>15300</v>
      </c>
      <c r="B318" s="0" t="s">
        <v>281</v>
      </c>
    </row>
    <row r="319" customFormat="false" ht="15" hidden="false" customHeight="false" outlineLevel="0" collapsed="false">
      <c r="A319" s="0" t="n">
        <v>15334</v>
      </c>
      <c r="B319" s="0" t="s">
        <v>282</v>
      </c>
    </row>
    <row r="320" customFormat="false" ht="15" hidden="false" customHeight="false" outlineLevel="0" collapsed="false">
      <c r="A320" s="0" t="n">
        <v>15350</v>
      </c>
      <c r="B320" s="0" t="s">
        <v>283</v>
      </c>
    </row>
    <row r="321" customFormat="false" ht="15" hidden="false" customHeight="false" outlineLevel="0" collapsed="false">
      <c r="A321" s="0" t="n">
        <v>15369</v>
      </c>
      <c r="B321" s="0" t="s">
        <v>284</v>
      </c>
    </row>
    <row r="322" customFormat="false" ht="15" hidden="false" customHeight="false" outlineLevel="0" collapsed="false">
      <c r="A322" s="0" t="n">
        <v>15377</v>
      </c>
      <c r="B322" s="0" t="s">
        <v>285</v>
      </c>
    </row>
    <row r="323" customFormat="false" ht="15" hidden="false" customHeight="false" outlineLevel="0" collapsed="false">
      <c r="A323" s="0" t="n">
        <v>15385</v>
      </c>
      <c r="B323" s="0" t="s">
        <v>286</v>
      </c>
    </row>
    <row r="324" customFormat="false" ht="15" hidden="false" customHeight="false" outlineLevel="0" collapsed="false">
      <c r="A324" s="0" t="n">
        <v>15393</v>
      </c>
      <c r="B324" s="0" t="s">
        <v>287</v>
      </c>
    </row>
    <row r="325" customFormat="false" ht="15" hidden="false" customHeight="false" outlineLevel="0" collapsed="false">
      <c r="A325" s="0" t="n">
        <v>15407</v>
      </c>
      <c r="B325" s="0" t="s">
        <v>288</v>
      </c>
    </row>
    <row r="326" customFormat="false" ht="15" hidden="false" customHeight="false" outlineLevel="0" collapsed="false">
      <c r="A326" s="0" t="n">
        <v>15423</v>
      </c>
      <c r="B326" s="0" t="s">
        <v>289</v>
      </c>
    </row>
    <row r="327" customFormat="false" ht="15" hidden="false" customHeight="false" outlineLevel="0" collapsed="false">
      <c r="A327" s="0" t="n">
        <v>15458</v>
      </c>
      <c r="B327" s="0" t="n">
        <v>1379444000142</v>
      </c>
    </row>
    <row r="328" customFormat="false" ht="15" hidden="false" customHeight="false" outlineLevel="0" collapsed="false">
      <c r="A328" s="0" t="n">
        <v>15474</v>
      </c>
      <c r="B328" s="0" t="s">
        <v>290</v>
      </c>
    </row>
    <row r="329" customFormat="false" ht="15" hidden="false" customHeight="false" outlineLevel="0" collapsed="false">
      <c r="A329" s="0" t="n">
        <v>15482</v>
      </c>
      <c r="B329" s="0" t="s">
        <v>291</v>
      </c>
    </row>
    <row r="330" customFormat="false" ht="15" hidden="false" customHeight="false" outlineLevel="0" collapsed="false">
      <c r="A330" s="0" t="n">
        <v>15504</v>
      </c>
      <c r="B330" s="0" t="s">
        <v>292</v>
      </c>
    </row>
    <row r="331" customFormat="false" ht="15" hidden="false" customHeight="false" outlineLevel="0" collapsed="false">
      <c r="A331" s="0" t="n">
        <v>15547</v>
      </c>
      <c r="B331" s="0" t="s">
        <v>293</v>
      </c>
    </row>
    <row r="332" customFormat="false" ht="15" hidden="false" customHeight="false" outlineLevel="0" collapsed="false">
      <c r="A332" s="0" t="n">
        <v>15601</v>
      </c>
      <c r="B332" s="0" t="s">
        <v>294</v>
      </c>
    </row>
    <row r="333" customFormat="false" ht="15" hidden="false" customHeight="false" outlineLevel="0" collapsed="false">
      <c r="A333" s="0" t="n">
        <v>15610</v>
      </c>
      <c r="B333" s="0" t="s">
        <v>295</v>
      </c>
    </row>
    <row r="334" customFormat="false" ht="15" hidden="false" customHeight="false" outlineLevel="0" collapsed="false">
      <c r="A334" s="0" t="n">
        <v>15636</v>
      </c>
      <c r="B334" s="0" t="s">
        <v>296</v>
      </c>
    </row>
    <row r="335" customFormat="false" ht="15" hidden="false" customHeight="false" outlineLevel="0" collapsed="false">
      <c r="A335" s="0" t="n">
        <v>15644</v>
      </c>
      <c r="B335" s="0" t="s">
        <v>297</v>
      </c>
    </row>
    <row r="336" customFormat="false" ht="15" hidden="false" customHeight="false" outlineLevel="0" collapsed="false">
      <c r="A336" s="0" t="n">
        <v>15652</v>
      </c>
      <c r="B336" s="0" t="s">
        <v>298</v>
      </c>
    </row>
    <row r="337" customFormat="false" ht="15" hidden="false" customHeight="false" outlineLevel="0" collapsed="false">
      <c r="A337" s="0" t="n">
        <v>15687</v>
      </c>
      <c r="B337" s="0" t="s">
        <v>299</v>
      </c>
    </row>
    <row r="338" customFormat="false" ht="15" hidden="false" customHeight="false" outlineLevel="0" collapsed="false">
      <c r="A338" s="0" t="n">
        <v>15709</v>
      </c>
      <c r="B338" s="0" t="n">
        <v>6114738000166</v>
      </c>
    </row>
    <row r="339" customFormat="false" ht="15" hidden="false" customHeight="false" outlineLevel="0" collapsed="false">
      <c r="A339" s="0" t="n">
        <v>15741</v>
      </c>
      <c r="B339" s="0" t="s">
        <v>300</v>
      </c>
    </row>
    <row r="340" customFormat="false" ht="15" hidden="false" customHeight="false" outlineLevel="0" collapsed="false">
      <c r="A340" s="0" t="n">
        <v>15792</v>
      </c>
      <c r="B340" s="0" t="s">
        <v>301</v>
      </c>
    </row>
    <row r="341" customFormat="false" ht="15" hidden="false" customHeight="false" outlineLevel="0" collapsed="false">
      <c r="A341" s="0" t="n">
        <v>15806</v>
      </c>
      <c r="B341" s="0" t="s">
        <v>302</v>
      </c>
    </row>
    <row r="342" customFormat="false" ht="15" hidden="false" customHeight="false" outlineLevel="0" collapsed="false">
      <c r="A342" s="0" t="n">
        <v>15814</v>
      </c>
      <c r="B342" s="0" t="s">
        <v>303</v>
      </c>
    </row>
    <row r="343" customFormat="false" ht="15" hidden="false" customHeight="false" outlineLevel="0" collapsed="false">
      <c r="A343" s="0" t="n">
        <v>15849</v>
      </c>
      <c r="B343" s="0" t="s">
        <v>304</v>
      </c>
    </row>
    <row r="344" customFormat="false" ht="15" hidden="false" customHeight="false" outlineLevel="0" collapsed="false">
      <c r="A344" s="0" t="n">
        <v>15865</v>
      </c>
      <c r="B344" s="0" t="s">
        <v>305</v>
      </c>
    </row>
    <row r="345" customFormat="false" ht="15" hidden="false" customHeight="false" outlineLevel="0" collapsed="false">
      <c r="A345" s="0" t="n">
        <v>15873</v>
      </c>
      <c r="B345" s="0" t="s">
        <v>306</v>
      </c>
    </row>
    <row r="346" customFormat="false" ht="15" hidden="false" customHeight="false" outlineLevel="0" collapsed="false">
      <c r="A346" s="0" t="n">
        <v>15890</v>
      </c>
      <c r="B346" s="0" t="s">
        <v>307</v>
      </c>
    </row>
    <row r="347" customFormat="false" ht="15" hidden="false" customHeight="false" outlineLevel="0" collapsed="false">
      <c r="A347" s="0" t="n">
        <v>15903</v>
      </c>
      <c r="B347" s="0" t="s">
        <v>308</v>
      </c>
    </row>
    <row r="348" customFormat="false" ht="15" hidden="false" customHeight="false" outlineLevel="0" collapsed="false">
      <c r="A348" s="0" t="n">
        <v>15911</v>
      </c>
      <c r="B348" s="0" t="s">
        <v>309</v>
      </c>
    </row>
    <row r="349" customFormat="false" ht="15" hidden="false" customHeight="false" outlineLevel="0" collapsed="false">
      <c r="A349" s="0" t="n">
        <v>15920</v>
      </c>
      <c r="B349" s="0" t="s">
        <v>310</v>
      </c>
    </row>
    <row r="350" customFormat="false" ht="15" hidden="false" customHeight="false" outlineLevel="0" collapsed="false">
      <c r="A350" s="0" t="n">
        <v>15938</v>
      </c>
      <c r="B350" s="0" t="s">
        <v>311</v>
      </c>
    </row>
    <row r="351" customFormat="false" ht="15" hidden="false" customHeight="false" outlineLevel="0" collapsed="false">
      <c r="A351" s="0" t="n">
        <v>15954</v>
      </c>
      <c r="B351" s="0" t="s">
        <v>312</v>
      </c>
    </row>
    <row r="352" customFormat="false" ht="15" hidden="false" customHeight="false" outlineLevel="0" collapsed="false">
      <c r="A352" s="0" t="n">
        <v>15962</v>
      </c>
      <c r="B352" s="0" t="s">
        <v>313</v>
      </c>
    </row>
    <row r="353" customFormat="false" ht="15" hidden="false" customHeight="false" outlineLevel="0" collapsed="false">
      <c r="A353" s="0" t="n">
        <v>15970</v>
      </c>
      <c r="B353" s="0" t="s">
        <v>314</v>
      </c>
    </row>
    <row r="354" customFormat="false" ht="15" hidden="false" customHeight="false" outlineLevel="0" collapsed="false">
      <c r="A354" s="0" t="n">
        <v>15989</v>
      </c>
      <c r="B354" s="0" t="s">
        <v>315</v>
      </c>
    </row>
    <row r="355" customFormat="false" ht="15" hidden="false" customHeight="false" outlineLevel="0" collapsed="false">
      <c r="A355" s="0" t="n">
        <v>15997</v>
      </c>
      <c r="B355" s="0" t="s">
        <v>316</v>
      </c>
    </row>
    <row r="356" customFormat="false" ht="15" hidden="false" customHeight="false" outlineLevel="0" collapsed="false">
      <c r="A356" s="0" t="n">
        <v>16020</v>
      </c>
      <c r="B356" s="0" t="s">
        <v>317</v>
      </c>
    </row>
    <row r="357" customFormat="false" ht="15" hidden="false" customHeight="false" outlineLevel="0" collapsed="false">
      <c r="A357" s="0" t="n">
        <v>16047</v>
      </c>
      <c r="B357" s="0" t="s">
        <v>318</v>
      </c>
    </row>
    <row r="358" customFormat="false" ht="15" hidden="false" customHeight="false" outlineLevel="0" collapsed="false">
      <c r="A358" s="0" t="n">
        <v>16055</v>
      </c>
      <c r="B358" s="0" t="s">
        <v>319</v>
      </c>
    </row>
    <row r="359" customFormat="false" ht="15" hidden="false" customHeight="false" outlineLevel="0" collapsed="false">
      <c r="A359" s="0" t="n">
        <v>16071</v>
      </c>
      <c r="B359" s="0" t="s">
        <v>320</v>
      </c>
    </row>
    <row r="360" customFormat="false" ht="15" hidden="false" customHeight="false" outlineLevel="0" collapsed="false">
      <c r="A360" s="0" t="n">
        <v>16080</v>
      </c>
      <c r="B360" s="0" t="n">
        <v>6115399000132</v>
      </c>
    </row>
    <row r="361" customFormat="false" ht="15" hidden="false" customHeight="false" outlineLevel="0" collapsed="false">
      <c r="A361" s="0" t="n">
        <v>16110</v>
      </c>
      <c r="B361" s="0" t="s">
        <v>321</v>
      </c>
    </row>
    <row r="362" customFormat="false" ht="15" hidden="false" customHeight="false" outlineLevel="0" collapsed="false">
      <c r="A362" s="0" t="n">
        <v>16136</v>
      </c>
      <c r="B362" s="0" t="s">
        <v>322</v>
      </c>
    </row>
    <row r="363" customFormat="false" ht="15" hidden="false" customHeight="false" outlineLevel="0" collapsed="false">
      <c r="A363" s="0" t="n">
        <v>16144</v>
      </c>
      <c r="B363" s="0" t="s">
        <v>323</v>
      </c>
    </row>
    <row r="364" customFormat="false" ht="15" hidden="false" customHeight="false" outlineLevel="0" collapsed="false">
      <c r="A364" s="0" t="n">
        <v>16152</v>
      </c>
      <c r="B364" s="0" t="s">
        <v>324</v>
      </c>
    </row>
    <row r="365" customFormat="false" ht="15" hidden="false" customHeight="false" outlineLevel="0" collapsed="false">
      <c r="A365" s="0" t="n">
        <v>16179</v>
      </c>
      <c r="B365" s="0" t="n">
        <v>2039092000149</v>
      </c>
    </row>
    <row r="366" customFormat="false" ht="15" hidden="false" customHeight="false" outlineLevel="0" collapsed="false">
      <c r="A366" s="0" t="n">
        <v>16187</v>
      </c>
      <c r="B366" s="0" t="s">
        <v>325</v>
      </c>
    </row>
    <row r="367" customFormat="false" ht="15" hidden="false" customHeight="false" outlineLevel="0" collapsed="false">
      <c r="A367" s="0" t="n">
        <v>16195</v>
      </c>
      <c r="B367" s="0" t="s">
        <v>326</v>
      </c>
    </row>
    <row r="368" customFormat="false" ht="15" hidden="false" customHeight="false" outlineLevel="0" collapsed="false">
      <c r="A368" s="0" t="n">
        <v>16209</v>
      </c>
      <c r="B368" s="0" t="s">
        <v>327</v>
      </c>
    </row>
    <row r="369" customFormat="false" ht="15" hidden="false" customHeight="false" outlineLevel="0" collapsed="false">
      <c r="A369" s="0" t="n">
        <v>16225</v>
      </c>
      <c r="B369" s="0" t="n">
        <v>1970251000161</v>
      </c>
    </row>
    <row r="370" customFormat="false" ht="15" hidden="false" customHeight="false" outlineLevel="0" collapsed="false">
      <c r="A370" s="0" t="n">
        <v>16233</v>
      </c>
      <c r="B370" s="0" t="s">
        <v>328</v>
      </c>
    </row>
    <row r="371" customFormat="false" ht="15" hidden="false" customHeight="false" outlineLevel="0" collapsed="false">
      <c r="A371" s="0" t="n">
        <v>16241</v>
      </c>
      <c r="B371" s="0" t="s">
        <v>329</v>
      </c>
    </row>
    <row r="372" customFormat="false" ht="15" hidden="false" customHeight="false" outlineLevel="0" collapsed="false">
      <c r="A372" s="0" t="n">
        <v>16284</v>
      </c>
      <c r="B372" s="0" t="s">
        <v>330</v>
      </c>
    </row>
    <row r="373" customFormat="false" ht="15" hidden="false" customHeight="false" outlineLevel="0" collapsed="false">
      <c r="A373" s="0" t="n">
        <v>16314</v>
      </c>
      <c r="B373" s="0" t="s">
        <v>331</v>
      </c>
    </row>
    <row r="374" customFormat="false" ht="15" hidden="false" customHeight="false" outlineLevel="0" collapsed="false">
      <c r="A374" s="0" t="n">
        <v>16322</v>
      </c>
      <c r="B374" s="0" t="s">
        <v>332</v>
      </c>
    </row>
    <row r="375" customFormat="false" ht="15" hidden="false" customHeight="false" outlineLevel="0" collapsed="false">
      <c r="A375" s="0" t="n">
        <v>16349</v>
      </c>
      <c r="B375" s="0" t="s">
        <v>333</v>
      </c>
    </row>
    <row r="376" customFormat="false" ht="15" hidden="false" customHeight="false" outlineLevel="0" collapsed="false">
      <c r="A376" s="0" t="n">
        <v>16357</v>
      </c>
      <c r="B376" s="0" t="s">
        <v>334</v>
      </c>
    </row>
    <row r="377" customFormat="false" ht="15" hidden="false" customHeight="false" outlineLevel="0" collapsed="false">
      <c r="A377" s="0" t="n">
        <v>16365</v>
      </c>
      <c r="B377" s="0" t="s">
        <v>335</v>
      </c>
    </row>
    <row r="378" customFormat="false" ht="15" hidden="false" customHeight="false" outlineLevel="0" collapsed="false">
      <c r="A378" s="0" t="n">
        <v>16381</v>
      </c>
      <c r="B378" s="0" t="s">
        <v>336</v>
      </c>
    </row>
    <row r="379" customFormat="false" ht="15" hidden="false" customHeight="false" outlineLevel="0" collapsed="false">
      <c r="A379" s="0" t="n">
        <v>16403</v>
      </c>
      <c r="B379" s="0" t="s">
        <v>337</v>
      </c>
    </row>
    <row r="380" customFormat="false" ht="15" hidden="false" customHeight="false" outlineLevel="0" collapsed="false">
      <c r="A380" s="0" t="n">
        <v>16411</v>
      </c>
      <c r="B380" s="0" t="s">
        <v>338</v>
      </c>
    </row>
    <row r="381" customFormat="false" ht="15" hidden="false" customHeight="false" outlineLevel="0" collapsed="false">
      <c r="A381" s="0" t="n">
        <v>16420</v>
      </c>
      <c r="B381" s="0" t="n">
        <v>1346755000105</v>
      </c>
    </row>
    <row r="382" customFormat="false" ht="15" hidden="false" customHeight="false" outlineLevel="0" collapsed="false">
      <c r="A382" s="0" t="n">
        <v>16438</v>
      </c>
      <c r="B382" s="0" t="s">
        <v>339</v>
      </c>
    </row>
    <row r="383" customFormat="false" ht="15" hidden="false" customHeight="false" outlineLevel="0" collapsed="false">
      <c r="A383" s="0" t="n">
        <v>16454</v>
      </c>
      <c r="B383" s="0" t="s">
        <v>340</v>
      </c>
    </row>
    <row r="384" customFormat="false" ht="15" hidden="false" customHeight="false" outlineLevel="0" collapsed="false">
      <c r="A384" s="0" t="n">
        <v>16470</v>
      </c>
      <c r="B384" s="0" t="s">
        <v>341</v>
      </c>
    </row>
    <row r="385" customFormat="false" ht="15" hidden="false" customHeight="false" outlineLevel="0" collapsed="false">
      <c r="A385" s="0" t="n">
        <v>16500</v>
      </c>
      <c r="B385" s="0" t="s">
        <v>342</v>
      </c>
    </row>
    <row r="386" customFormat="false" ht="15" hidden="false" customHeight="false" outlineLevel="0" collapsed="false">
      <c r="A386" s="0" t="n">
        <v>16519</v>
      </c>
      <c r="B386" s="0" t="s">
        <v>343</v>
      </c>
    </row>
    <row r="387" customFormat="false" ht="15" hidden="false" customHeight="false" outlineLevel="0" collapsed="false">
      <c r="A387" s="0" t="n">
        <v>16527</v>
      </c>
      <c r="B387" s="0" t="n">
        <v>1520666000133</v>
      </c>
    </row>
    <row r="388" customFormat="false" ht="15" hidden="false" customHeight="false" outlineLevel="0" collapsed="false">
      <c r="A388" s="0" t="n">
        <v>16543</v>
      </c>
      <c r="B388" s="0" t="s">
        <v>344</v>
      </c>
    </row>
    <row r="389" customFormat="false" ht="15" hidden="false" customHeight="false" outlineLevel="0" collapsed="false">
      <c r="A389" s="0" t="n">
        <v>16560</v>
      </c>
      <c r="B389" s="0" t="s">
        <v>345</v>
      </c>
    </row>
    <row r="390" customFormat="false" ht="15" hidden="false" customHeight="false" outlineLevel="0" collapsed="false">
      <c r="A390" s="0" t="n">
        <v>16594</v>
      </c>
      <c r="B390" s="0" t="s">
        <v>346</v>
      </c>
    </row>
    <row r="391" customFormat="false" ht="15" hidden="false" customHeight="false" outlineLevel="0" collapsed="false">
      <c r="A391" s="0" t="n">
        <v>16624</v>
      </c>
      <c r="B391" s="0" t="s">
        <v>347</v>
      </c>
    </row>
    <row r="392" customFormat="false" ht="15" hidden="false" customHeight="false" outlineLevel="0" collapsed="false">
      <c r="A392" s="0" t="n">
        <v>16632</v>
      </c>
      <c r="B392" s="0" t="s">
        <v>348</v>
      </c>
    </row>
    <row r="393" customFormat="false" ht="15" hidden="false" customHeight="false" outlineLevel="0" collapsed="false">
      <c r="A393" s="0" t="n">
        <v>16640</v>
      </c>
      <c r="B393" s="0" t="s">
        <v>349</v>
      </c>
    </row>
    <row r="394" customFormat="false" ht="15" hidden="false" customHeight="false" outlineLevel="0" collapsed="false">
      <c r="A394" s="0" t="n">
        <v>20516</v>
      </c>
      <c r="B394" s="0" t="s">
        <v>350</v>
      </c>
    </row>
    <row r="395" customFormat="false" ht="15" hidden="false" customHeight="false" outlineLevel="0" collapsed="false">
      <c r="A395" s="0" t="n">
        <v>21083</v>
      </c>
      <c r="B395" s="0" t="s">
        <v>351</v>
      </c>
    </row>
    <row r="396" customFormat="false" ht="15" hidden="false" customHeight="false" outlineLevel="0" collapsed="false">
      <c r="A396" s="0" t="n">
        <v>21091</v>
      </c>
      <c r="B396" s="0" t="s">
        <v>352</v>
      </c>
    </row>
    <row r="397" customFormat="false" ht="15" hidden="false" customHeight="false" outlineLevel="0" collapsed="false">
      <c r="A397" s="0" t="n">
        <v>21628</v>
      </c>
      <c r="B397" s="0" t="s">
        <v>353</v>
      </c>
    </row>
    <row r="398" customFormat="false" ht="15" hidden="false" customHeight="false" outlineLevel="0" collapsed="false">
      <c r="A398" s="0" t="n">
        <v>21636</v>
      </c>
      <c r="B398" s="0" t="s">
        <v>354</v>
      </c>
    </row>
    <row r="399" customFormat="false" ht="15" hidden="false" customHeight="false" outlineLevel="0" collapsed="false">
      <c r="A399" s="0" t="n">
        <v>21644</v>
      </c>
      <c r="B399" s="0" t="n">
        <v>1641142000109</v>
      </c>
    </row>
    <row r="400" customFormat="false" ht="15" hidden="false" customHeight="false" outlineLevel="0" collapsed="false">
      <c r="A400" s="0" t="n">
        <v>21652</v>
      </c>
      <c r="B400" s="0" t="s">
        <v>355</v>
      </c>
    </row>
    <row r="401" customFormat="false" ht="15" hidden="false" customHeight="false" outlineLevel="0" collapsed="false">
      <c r="A401" s="0" t="n">
        <v>21660</v>
      </c>
      <c r="B401" s="0" t="s">
        <v>356</v>
      </c>
    </row>
    <row r="402" customFormat="false" ht="15" hidden="false" customHeight="false" outlineLevel="0" collapsed="false">
      <c r="A402" s="0" t="n">
        <v>21679</v>
      </c>
      <c r="B402" s="0" t="s">
        <v>357</v>
      </c>
    </row>
    <row r="403" customFormat="false" ht="15" hidden="false" customHeight="false" outlineLevel="0" collapsed="false">
      <c r="A403" s="0" t="n">
        <v>21687</v>
      </c>
      <c r="B403" s="0" t="n">
        <v>1921631000106</v>
      </c>
    </row>
    <row r="404" customFormat="false" ht="15" hidden="false" customHeight="false" outlineLevel="0" collapsed="false">
      <c r="A404" s="0" t="n">
        <v>21717</v>
      </c>
      <c r="B404" s="0" t="s">
        <v>358</v>
      </c>
    </row>
    <row r="405" customFormat="false" ht="15" hidden="false" customHeight="false" outlineLevel="0" collapsed="false">
      <c r="A405" s="0" t="n">
        <v>23329</v>
      </c>
      <c r="B405" s="0" t="s">
        <v>359</v>
      </c>
    </row>
    <row r="406" customFormat="false" ht="15" hidden="false" customHeight="false" outlineLevel="0" collapsed="false">
      <c r="A406" s="0" t="n">
        <v>23841</v>
      </c>
      <c r="B406" s="0" t="s">
        <v>360</v>
      </c>
    </row>
    <row r="407" customFormat="false" ht="15" hidden="false" customHeight="false" outlineLevel="0" collapsed="false">
      <c r="A407" s="0" t="n">
        <v>38512</v>
      </c>
      <c r="B407" s="0" t="s">
        <v>361</v>
      </c>
    </row>
    <row r="408" customFormat="false" ht="15" hidden="false" customHeight="false" outlineLevel="0" collapsed="false">
      <c r="A408" s="0" t="n">
        <v>38563</v>
      </c>
      <c r="B408" s="0" t="s">
        <v>362</v>
      </c>
    </row>
    <row r="409" customFormat="false" ht="15" hidden="false" customHeight="false" outlineLevel="0" collapsed="false">
      <c r="A409" s="0" t="n">
        <v>38571</v>
      </c>
      <c r="B409" s="0" t="s">
        <v>363</v>
      </c>
    </row>
    <row r="410" customFormat="false" ht="15" hidden="false" customHeight="false" outlineLevel="0" collapsed="false">
      <c r="A410" s="0" t="n">
        <v>38598</v>
      </c>
      <c r="B410" s="0" t="s">
        <v>364</v>
      </c>
    </row>
    <row r="411" customFormat="false" ht="15" hidden="false" customHeight="false" outlineLevel="0" collapsed="false">
      <c r="A411" s="0" t="n">
        <v>38636</v>
      </c>
      <c r="B411" s="0" t="s">
        <v>365</v>
      </c>
    </row>
    <row r="412" customFormat="false" ht="15" hidden="false" customHeight="false" outlineLevel="0" collapsed="false">
      <c r="A412" s="0" t="n">
        <v>38652</v>
      </c>
      <c r="B412" s="0" t="s">
        <v>366</v>
      </c>
    </row>
    <row r="413" customFormat="false" ht="15" hidden="false" customHeight="false" outlineLevel="0" collapsed="false">
      <c r="A413" s="0" t="n">
        <v>38709</v>
      </c>
      <c r="B413" s="0" t="s">
        <v>367</v>
      </c>
    </row>
    <row r="414" customFormat="false" ht="15" hidden="false" customHeight="false" outlineLevel="0" collapsed="false">
      <c r="A414" s="0" t="n">
        <v>38806</v>
      </c>
      <c r="B414" s="0" t="s">
        <v>368</v>
      </c>
    </row>
    <row r="415" customFormat="false" ht="15" hidden="false" customHeight="false" outlineLevel="0" collapsed="false">
      <c r="A415" s="0" t="n">
        <v>39055</v>
      </c>
      <c r="B415" s="0" t="s">
        <v>369</v>
      </c>
    </row>
    <row r="416" customFormat="false" ht="15" hidden="false" customHeight="false" outlineLevel="0" collapsed="false">
      <c r="A416" s="0" t="n">
        <v>40096</v>
      </c>
      <c r="B416" s="0" t="s">
        <v>370</v>
      </c>
    </row>
    <row r="417" customFormat="false" ht="15" hidden="false" customHeight="false" outlineLevel="0" collapsed="false">
      <c r="A417" s="0" t="n">
        <v>40118</v>
      </c>
      <c r="B417" s="0" t="s">
        <v>371</v>
      </c>
    </row>
    <row r="418" customFormat="false" ht="15" hidden="false" customHeight="false" outlineLevel="0" collapsed="false">
      <c r="A418" s="0" t="n">
        <v>40320</v>
      </c>
      <c r="B418" s="0" t="s">
        <v>372</v>
      </c>
    </row>
    <row r="419" customFormat="false" ht="15" hidden="false" customHeight="false" outlineLevel="0" collapsed="false">
      <c r="A419" s="0" t="n">
        <v>40371</v>
      </c>
    </row>
    <row r="420" customFormat="false" ht="15" hidden="false" customHeight="false" outlineLevel="0" collapsed="false">
      <c r="A420" s="0" t="n">
        <v>40452</v>
      </c>
      <c r="B420" s="0" t="s">
        <v>373</v>
      </c>
    </row>
    <row r="421" customFormat="false" ht="15" hidden="false" customHeight="false" outlineLevel="0" collapsed="false">
      <c r="A421" s="0" t="n">
        <v>40460</v>
      </c>
    </row>
    <row r="422" customFormat="false" ht="15" hidden="false" customHeight="false" outlineLevel="0" collapsed="false">
      <c r="A422" s="0" t="n">
        <v>40509</v>
      </c>
      <c r="B422" s="0" t="n">
        <v>18247996000108</v>
      </c>
    </row>
    <row r="423" customFormat="false" ht="15" hidden="false" customHeight="false" outlineLevel="0" collapsed="false">
      <c r="A423" s="0" t="n">
        <v>40525</v>
      </c>
    </row>
    <row r="424" customFormat="false" ht="15" hidden="false" customHeight="false" outlineLevel="0" collapsed="false">
      <c r="A424" s="0" t="n">
        <v>40541</v>
      </c>
    </row>
    <row r="425" customFormat="false" ht="15" hidden="false" customHeight="false" outlineLevel="0" collapsed="false">
      <c r="A425" s="0" t="n">
        <v>40568</v>
      </c>
      <c r="B425" s="0" t="n">
        <v>19136591000157</v>
      </c>
    </row>
    <row r="426" customFormat="false" ht="15" hidden="false" customHeight="false" outlineLevel="0" collapsed="false">
      <c r="A426" s="0" t="n">
        <v>40584</v>
      </c>
      <c r="B426" s="0" t="n">
        <v>18852437000119</v>
      </c>
    </row>
    <row r="427" customFormat="false" ht="15" hidden="false" customHeight="false" outlineLevel="0" collapsed="false">
      <c r="A427" s="0" t="n">
        <v>40606</v>
      </c>
      <c r="B427" s="0" t="s">
        <v>374</v>
      </c>
    </row>
    <row r="428" customFormat="false" ht="15" hidden="false" customHeight="false" outlineLevel="0" collapsed="false">
      <c r="A428" s="0" t="n">
        <v>40622</v>
      </c>
      <c r="B428" s="0" t="s">
        <v>375</v>
      </c>
    </row>
    <row r="429" customFormat="false" ht="15" hidden="false" customHeight="false" outlineLevel="0" collapsed="false">
      <c r="A429" s="0" t="n">
        <v>40649</v>
      </c>
      <c r="B429" s="0" t="s">
        <v>376</v>
      </c>
    </row>
    <row r="430" customFormat="false" ht="15" hidden="false" customHeight="false" outlineLevel="0" collapsed="false">
      <c r="A430" s="0" t="n">
        <v>40665</v>
      </c>
      <c r="B430" s="0" t="n">
        <v>18435520000192</v>
      </c>
    </row>
    <row r="431" customFormat="false" ht="15" hidden="false" customHeight="false" outlineLevel="0" collapsed="false">
      <c r="A431" s="0" t="n">
        <v>40681</v>
      </c>
    </row>
    <row r="432" customFormat="false" ht="15" hidden="false" customHeight="false" outlineLevel="0" collapsed="false">
      <c r="A432" s="0" t="n">
        <v>40703</v>
      </c>
    </row>
    <row r="433" customFormat="false" ht="15" hidden="false" customHeight="false" outlineLevel="0" collapsed="false">
      <c r="A433" s="0" t="n">
        <v>40720</v>
      </c>
    </row>
    <row r="434" customFormat="false" ht="15" hidden="false" customHeight="false" outlineLevel="0" collapsed="false">
      <c r="A434" s="0" t="n">
        <v>40762</v>
      </c>
    </row>
    <row r="435" customFormat="false" ht="15" hidden="false" customHeight="false" outlineLevel="0" collapsed="false">
      <c r="A435" s="0" t="n">
        <v>40789</v>
      </c>
      <c r="B435" s="0" t="n">
        <v>19100238000117</v>
      </c>
    </row>
    <row r="436" customFormat="false" ht="15" hidden="false" customHeight="false" outlineLevel="0" collapsed="false">
      <c r="A436" s="0" t="n">
        <v>40800</v>
      </c>
      <c r="B436" s="0" t="n">
        <v>19563845000113</v>
      </c>
    </row>
    <row r="437" customFormat="false" ht="15" hidden="false" customHeight="false" outlineLevel="0" collapsed="false">
      <c r="A437" s="0" t="n">
        <v>40827</v>
      </c>
      <c r="B437" s="0" t="s">
        <v>377</v>
      </c>
    </row>
    <row r="438" customFormat="false" ht="15" hidden="false" customHeight="false" outlineLevel="0" collapsed="false">
      <c r="A438" s="0" t="n">
        <v>40843</v>
      </c>
    </row>
    <row r="439" customFormat="false" ht="15" hidden="false" customHeight="false" outlineLevel="0" collapsed="false">
      <c r="A439" s="0" t="n">
        <v>40860</v>
      </c>
    </row>
    <row r="440" customFormat="false" ht="15" hidden="false" customHeight="false" outlineLevel="0" collapsed="false">
      <c r="A440" s="0" t="n">
        <v>40886</v>
      </c>
    </row>
    <row r="441" customFormat="false" ht="15" hidden="false" customHeight="false" outlineLevel="0" collapsed="false">
      <c r="A441" s="0" t="n">
        <v>40908</v>
      </c>
      <c r="B441" s="0" t="s">
        <v>378</v>
      </c>
    </row>
    <row r="442" customFormat="false" ht="15" hidden="false" customHeight="false" outlineLevel="0" collapsed="false">
      <c r="A442" s="0" t="n">
        <v>40924</v>
      </c>
    </row>
    <row r="443" customFormat="false" ht="15" hidden="false" customHeight="false" outlineLevel="0" collapsed="false">
      <c r="A443" s="0" t="n">
        <v>40940</v>
      </c>
      <c r="B443" s="0" t="s">
        <v>348</v>
      </c>
    </row>
    <row r="444" customFormat="false" ht="15" hidden="false" customHeight="false" outlineLevel="0" collapsed="false">
      <c r="A444" s="0" t="n">
        <v>40967</v>
      </c>
      <c r="B444" s="0" t="n">
        <v>18530045000133</v>
      </c>
    </row>
    <row r="445" customFormat="false" ht="15" hidden="false" customHeight="false" outlineLevel="0" collapsed="false">
      <c r="A445" s="0" t="n">
        <v>40983</v>
      </c>
      <c r="B445" s="0" t="n">
        <v>18761686000107</v>
      </c>
    </row>
    <row r="446" customFormat="false" ht="15" hidden="false" customHeight="false" outlineLevel="0" collapsed="false">
      <c r="A446" s="0" t="n">
        <v>41009</v>
      </c>
      <c r="B446" s="0" t="n">
        <v>20878261000116</v>
      </c>
    </row>
    <row r="447" customFormat="false" ht="15" hidden="false" customHeight="false" outlineLevel="0" collapsed="false">
      <c r="A447" s="0" t="n">
        <v>41025</v>
      </c>
    </row>
    <row r="448" customFormat="false" ht="15" hidden="false" customHeight="false" outlineLevel="0" collapsed="false">
      <c r="A448" s="0" t="n">
        <v>41068</v>
      </c>
      <c r="B448" s="0" t="n">
        <v>18995864000156</v>
      </c>
    </row>
    <row r="449" customFormat="false" ht="15" hidden="false" customHeight="false" outlineLevel="0" collapsed="false">
      <c r="A449" s="0" t="n">
        <v>41084</v>
      </c>
      <c r="B449" s="0" t="s">
        <v>379</v>
      </c>
    </row>
    <row r="450" customFormat="false" ht="15" hidden="false" customHeight="false" outlineLevel="0" collapsed="false">
      <c r="A450" s="0" t="n">
        <v>41106</v>
      </c>
      <c r="B450" s="0" t="n">
        <v>22812943000151</v>
      </c>
    </row>
    <row r="451" customFormat="false" ht="15" hidden="false" customHeight="false" outlineLevel="0" collapsed="false">
      <c r="A451" s="0" t="n">
        <v>41122</v>
      </c>
    </row>
    <row r="452" customFormat="false" ht="15" hidden="false" customHeight="false" outlineLevel="0" collapsed="false">
      <c r="A452" s="0" t="n">
        <v>41149</v>
      </c>
      <c r="B452" s="0" t="n">
        <v>19193665000197</v>
      </c>
    </row>
    <row r="453" customFormat="false" ht="15" hidden="false" customHeight="false" outlineLevel="0" collapsed="false">
      <c r="A453" s="0" t="n">
        <v>41165</v>
      </c>
      <c r="B453" s="0" t="s">
        <v>380</v>
      </c>
    </row>
    <row r="454" customFormat="false" ht="15" hidden="false" customHeight="false" outlineLevel="0" collapsed="false">
      <c r="A454" s="0" t="n">
        <v>41181</v>
      </c>
      <c r="B454" s="0" t="n">
        <v>18608771000121</v>
      </c>
    </row>
    <row r="455" customFormat="false" ht="15" hidden="false" customHeight="false" outlineLevel="0" collapsed="false">
      <c r="A455" s="0" t="n">
        <v>41203</v>
      </c>
      <c r="B455" s="0" t="n">
        <v>18148917000101</v>
      </c>
    </row>
    <row r="456" customFormat="false" ht="15" hidden="false" customHeight="false" outlineLevel="0" collapsed="false">
      <c r="A456" s="0" t="n">
        <v>41220</v>
      </c>
      <c r="B456" s="0" t="n">
        <v>18720537000191</v>
      </c>
    </row>
    <row r="457" customFormat="false" ht="15" hidden="false" customHeight="false" outlineLevel="0" collapsed="false">
      <c r="A457" s="0" t="n">
        <v>41246</v>
      </c>
      <c r="B457" s="0" t="s">
        <v>381</v>
      </c>
    </row>
    <row r="458" customFormat="false" ht="15" hidden="false" customHeight="false" outlineLevel="0" collapsed="false">
      <c r="A458" s="0" t="n">
        <v>41262</v>
      </c>
      <c r="B458" s="0" t="n">
        <v>23113124000189</v>
      </c>
    </row>
    <row r="459" customFormat="false" ht="15" hidden="false" customHeight="false" outlineLevel="0" collapsed="false">
      <c r="A459" s="0" t="n">
        <v>41289</v>
      </c>
      <c r="B459" s="0" t="n">
        <v>23221421000148</v>
      </c>
    </row>
    <row r="460" customFormat="false" ht="15" hidden="false" customHeight="false" outlineLevel="0" collapsed="false">
      <c r="A460" s="0" t="n">
        <v>41300</v>
      </c>
    </row>
    <row r="461" customFormat="false" ht="15" hidden="false" customHeight="false" outlineLevel="0" collapsed="false">
      <c r="A461" s="0" t="n">
        <v>41327</v>
      </c>
    </row>
    <row r="462" customFormat="false" ht="15" hidden="false" customHeight="false" outlineLevel="0" collapsed="false">
      <c r="A462" s="0" t="n">
        <v>41343</v>
      </c>
      <c r="B462" s="0" t="n">
        <v>18700425000179</v>
      </c>
    </row>
    <row r="463" customFormat="false" ht="15" hidden="false" customHeight="false" outlineLevel="0" collapsed="false">
      <c r="A463" s="0" t="n">
        <v>41360</v>
      </c>
    </row>
    <row r="464" customFormat="false" ht="15" hidden="false" customHeight="false" outlineLevel="0" collapsed="false">
      <c r="A464" s="0" t="n">
        <v>41386</v>
      </c>
      <c r="B464" s="0" t="s">
        <v>382</v>
      </c>
    </row>
    <row r="465" customFormat="false" ht="15" hidden="false" customHeight="false" outlineLevel="0" collapsed="false">
      <c r="A465" s="0" t="n">
        <v>41408</v>
      </c>
      <c r="B465" s="0" t="n">
        <v>3507415000810</v>
      </c>
    </row>
    <row r="466" customFormat="false" ht="15" hidden="false" customHeight="false" outlineLevel="0" collapsed="false">
      <c r="A466" s="0" t="n">
        <v>41424</v>
      </c>
      <c r="B466" s="0" t="s">
        <v>383</v>
      </c>
    </row>
    <row r="467" customFormat="false" ht="15" hidden="false" customHeight="false" outlineLevel="0" collapsed="false">
      <c r="A467" s="0" t="n">
        <v>41440</v>
      </c>
      <c r="B467" s="0" t="s">
        <v>384</v>
      </c>
    </row>
    <row r="468" customFormat="false" ht="15" hidden="false" customHeight="false" outlineLevel="0" collapsed="false">
      <c r="A468" s="0" t="n">
        <v>41467</v>
      </c>
      <c r="B468" s="0" t="s">
        <v>385</v>
      </c>
    </row>
    <row r="469" customFormat="false" ht="15" hidden="false" customHeight="false" outlineLevel="0" collapsed="false">
      <c r="A469" s="0" t="n">
        <v>41483</v>
      </c>
      <c r="B469" s="0" t="n">
        <v>19210762000140</v>
      </c>
    </row>
    <row r="470" customFormat="false" ht="15" hidden="false" customHeight="false" outlineLevel="0" collapsed="false">
      <c r="A470" s="0" t="n">
        <v>41505</v>
      </c>
      <c r="B470" s="0" t="n">
        <v>19079570000147</v>
      </c>
    </row>
    <row r="471" customFormat="false" ht="15" hidden="false" customHeight="false" outlineLevel="0" collapsed="false">
      <c r="A471" s="0" t="n">
        <v>41521</v>
      </c>
      <c r="B471" s="0" t="s">
        <v>386</v>
      </c>
    </row>
    <row r="472" customFormat="false" ht="15" hidden="false" customHeight="false" outlineLevel="0" collapsed="false">
      <c r="A472" s="0" t="n">
        <v>41548</v>
      </c>
      <c r="B472" s="0" t="n">
        <v>18495379000113</v>
      </c>
    </row>
    <row r="473" customFormat="false" ht="15" hidden="false" customHeight="false" outlineLevel="0" collapsed="false">
      <c r="A473" s="0" t="n">
        <v>41564</v>
      </c>
      <c r="B473" s="0" t="n">
        <v>21005530000100</v>
      </c>
    </row>
    <row r="474" customFormat="false" ht="15" hidden="false" customHeight="false" outlineLevel="0" collapsed="false">
      <c r="A474" s="0" t="n">
        <v>41580</v>
      </c>
      <c r="B474" s="0" t="s">
        <v>387</v>
      </c>
    </row>
    <row r="475" customFormat="false" ht="15" hidden="false" customHeight="false" outlineLevel="0" collapsed="false">
      <c r="A475" s="0" t="n">
        <v>41602</v>
      </c>
      <c r="B475" s="0" t="s">
        <v>388</v>
      </c>
    </row>
    <row r="476" customFormat="false" ht="15" hidden="false" customHeight="false" outlineLevel="0" collapsed="false">
      <c r="A476" s="0" t="n">
        <v>41629</v>
      </c>
      <c r="B476" s="0" t="n">
        <v>18893389000107</v>
      </c>
    </row>
    <row r="477" customFormat="false" ht="15" hidden="false" customHeight="false" outlineLevel="0" collapsed="false">
      <c r="A477" s="0" t="n">
        <v>41688</v>
      </c>
    </row>
    <row r="478" customFormat="false" ht="15" hidden="false" customHeight="false" outlineLevel="0" collapsed="false">
      <c r="A478" s="0" t="n">
        <v>41726</v>
      </c>
      <c r="B478" s="0" t="n">
        <v>18508668000100</v>
      </c>
    </row>
    <row r="479" customFormat="false" ht="15" hidden="false" customHeight="false" outlineLevel="0" collapsed="false">
      <c r="A479" s="0" t="n">
        <v>41742</v>
      </c>
      <c r="B479" s="0" t="s">
        <v>389</v>
      </c>
    </row>
    <row r="480" customFormat="false" ht="15" hidden="false" customHeight="false" outlineLevel="0" collapsed="false">
      <c r="A480" s="0" t="n">
        <v>41769</v>
      </c>
      <c r="B480" s="0" t="n">
        <v>18550146000176</v>
      </c>
    </row>
    <row r="481" customFormat="false" ht="15" hidden="false" customHeight="false" outlineLevel="0" collapsed="false">
      <c r="A481" s="0" t="n">
        <v>41823</v>
      </c>
      <c r="B481" s="0" t="n">
        <v>19260257000100</v>
      </c>
    </row>
    <row r="482" customFormat="false" ht="15" hidden="false" customHeight="false" outlineLevel="0" collapsed="false">
      <c r="A482" s="0" t="n">
        <v>41840</v>
      </c>
      <c r="B482" s="0" t="n">
        <v>18864954000108</v>
      </c>
    </row>
    <row r="483" customFormat="false" ht="15" hidden="false" customHeight="false" outlineLevel="0" collapsed="false">
      <c r="A483" s="0" t="n">
        <v>41866</v>
      </c>
      <c r="B483" s="0" t="s">
        <v>390</v>
      </c>
    </row>
    <row r="484" customFormat="false" ht="15" hidden="false" customHeight="false" outlineLevel="0" collapsed="false">
      <c r="A484" s="0" t="n">
        <v>41904</v>
      </c>
      <c r="B484" s="0" t="n">
        <v>20416188000160</v>
      </c>
    </row>
    <row r="485" customFormat="false" ht="15" hidden="false" customHeight="false" outlineLevel="0" collapsed="false">
      <c r="A485" s="0" t="n">
        <v>41920</v>
      </c>
      <c r="B485" s="0" t="s">
        <v>391</v>
      </c>
    </row>
    <row r="486" customFormat="false" ht="15" hidden="false" customHeight="false" outlineLevel="0" collapsed="false">
      <c r="A486" s="0" t="n">
        <v>41947</v>
      </c>
      <c r="B486" s="0" t="n">
        <v>18589521000191</v>
      </c>
    </row>
    <row r="487" customFormat="false" ht="15" hidden="false" customHeight="false" outlineLevel="0" collapsed="false">
      <c r="A487" s="0" t="n">
        <v>41963</v>
      </c>
      <c r="B487" s="0" t="s">
        <v>392</v>
      </c>
    </row>
    <row r="488" customFormat="false" ht="15" hidden="false" customHeight="false" outlineLevel="0" collapsed="false">
      <c r="A488" s="0" t="n">
        <v>41980</v>
      </c>
      <c r="B488" s="0" t="s">
        <v>393</v>
      </c>
    </row>
    <row r="489" customFormat="false" ht="15" hidden="false" customHeight="false" outlineLevel="0" collapsed="false">
      <c r="A489" s="0" t="n">
        <v>42005</v>
      </c>
      <c r="B489" s="0" t="s">
        <v>394</v>
      </c>
    </row>
    <row r="490" customFormat="false" ht="15" hidden="false" customHeight="false" outlineLevel="0" collapsed="false">
      <c r="A490" s="0" t="n">
        <v>42048</v>
      </c>
      <c r="B490" s="0" t="n">
        <v>18602478000157</v>
      </c>
    </row>
    <row r="491" customFormat="false" ht="15" hidden="false" customHeight="false" outlineLevel="0" collapsed="false">
      <c r="A491" s="0" t="n">
        <v>42080</v>
      </c>
      <c r="B491" s="0" t="s">
        <v>395</v>
      </c>
    </row>
    <row r="492" customFormat="false" ht="15" hidden="false" customHeight="false" outlineLevel="0" collapsed="false">
      <c r="A492" s="0" t="n">
        <v>42102</v>
      </c>
    </row>
    <row r="493" customFormat="false" ht="15" hidden="false" customHeight="false" outlineLevel="0" collapsed="false">
      <c r="A493" s="0" t="n">
        <v>42129</v>
      </c>
      <c r="B493" s="0" t="n">
        <v>19454491000179</v>
      </c>
    </row>
    <row r="494" customFormat="false" ht="15" hidden="false" customHeight="false" outlineLevel="0" collapsed="false">
      <c r="A494" s="0" t="n">
        <v>42161</v>
      </c>
      <c r="B494" s="0" t="s">
        <v>396</v>
      </c>
    </row>
    <row r="495" customFormat="false" ht="15" hidden="false" customHeight="false" outlineLevel="0" collapsed="false">
      <c r="A495" s="0" t="n">
        <v>42188</v>
      </c>
      <c r="B495" s="0" t="n">
        <v>18078348000167</v>
      </c>
    </row>
    <row r="496" customFormat="false" ht="15" hidden="false" customHeight="false" outlineLevel="0" collapsed="false">
      <c r="A496" s="0" t="n">
        <v>42200</v>
      </c>
    </row>
    <row r="497" customFormat="false" ht="15" hidden="false" customHeight="false" outlineLevel="0" collapsed="false">
      <c r="A497" s="0" t="n">
        <v>42269</v>
      </c>
      <c r="B497" s="0" t="n">
        <v>19006319000152</v>
      </c>
    </row>
    <row r="498" customFormat="false" ht="15" hidden="false" customHeight="false" outlineLevel="0" collapsed="false">
      <c r="A498" s="0" t="n">
        <v>42285</v>
      </c>
      <c r="B498" s="0" t="n">
        <v>18496785000109</v>
      </c>
    </row>
    <row r="499" customFormat="false" ht="15" hidden="false" customHeight="false" outlineLevel="0" collapsed="false">
      <c r="A499" s="0" t="n">
        <v>42307</v>
      </c>
      <c r="B499" s="0" t="n">
        <v>18641884000129</v>
      </c>
    </row>
    <row r="500" customFormat="false" ht="15" hidden="false" customHeight="false" outlineLevel="0" collapsed="false">
      <c r="A500" s="0" t="n">
        <v>42340</v>
      </c>
      <c r="B500" s="0" t="n">
        <v>18679772000167</v>
      </c>
    </row>
    <row r="501" customFormat="false" ht="15" hidden="false" customHeight="false" outlineLevel="0" collapsed="false">
      <c r="A501" s="0" t="n">
        <v>42366</v>
      </c>
      <c r="B501" s="0" t="n">
        <v>18993351000106</v>
      </c>
    </row>
    <row r="502" customFormat="false" ht="15" hidden="false" customHeight="false" outlineLevel="0" collapsed="false">
      <c r="A502" s="0" t="n">
        <v>42404</v>
      </c>
    </row>
    <row r="503" customFormat="false" ht="15" hidden="false" customHeight="false" outlineLevel="0" collapsed="false">
      <c r="A503" s="0" t="n">
        <v>42480</v>
      </c>
      <c r="B503" s="0" t="s">
        <v>397</v>
      </c>
    </row>
    <row r="504" customFormat="false" ht="15" hidden="false" customHeight="false" outlineLevel="0" collapsed="false">
      <c r="A504" s="0" t="n">
        <v>42544</v>
      </c>
    </row>
    <row r="505" customFormat="false" ht="15" hidden="false" customHeight="false" outlineLevel="0" collapsed="false">
      <c r="A505" s="0" t="n">
        <v>42560</v>
      </c>
      <c r="B505" s="0" t="n">
        <v>21355965000177</v>
      </c>
    </row>
    <row r="506" customFormat="false" ht="15" hidden="false" customHeight="false" outlineLevel="0" collapsed="false">
      <c r="A506" s="0" t="n">
        <v>42587</v>
      </c>
      <c r="B506" s="0" t="s">
        <v>398</v>
      </c>
    </row>
    <row r="507" customFormat="false" ht="15" hidden="false" customHeight="false" outlineLevel="0" collapsed="false">
      <c r="A507" s="0" t="n">
        <v>42765</v>
      </c>
      <c r="B507" s="0" t="n">
        <v>19158412000182</v>
      </c>
    </row>
    <row r="508" customFormat="false" ht="15" hidden="false" customHeight="false" outlineLevel="0" collapsed="false">
      <c r="A508" s="0" t="n">
        <v>43133</v>
      </c>
      <c r="B508" s="0" t="s">
        <v>399</v>
      </c>
    </row>
    <row r="509" customFormat="false" ht="15" hidden="false" customHeight="false" outlineLevel="0" collapsed="false">
      <c r="A509" s="0" t="n">
        <v>44180</v>
      </c>
      <c r="B509" s="0" t="s">
        <v>400</v>
      </c>
    </row>
    <row r="510" customFormat="false" ht="15" hidden="false" customHeight="false" outlineLevel="0" collapsed="false">
      <c r="A510" s="0" t="n">
        <v>44202</v>
      </c>
    </row>
    <row r="511" customFormat="false" ht="15" hidden="false" customHeight="false" outlineLevel="0" collapsed="false">
      <c r="A511" s="0" t="n">
        <v>44245</v>
      </c>
      <c r="B511" s="0" t="s">
        <v>401</v>
      </c>
    </row>
    <row r="512" customFormat="false" ht="15" hidden="false" customHeight="false" outlineLevel="0" collapsed="false">
      <c r="A512" s="0" t="n">
        <v>44253</v>
      </c>
      <c r="B512" s="0" t="s">
        <v>402</v>
      </c>
    </row>
    <row r="513" customFormat="false" ht="15" hidden="false" customHeight="false" outlineLevel="0" collapsed="false">
      <c r="A513" s="0" t="n">
        <v>44261</v>
      </c>
      <c r="B513" s="0" t="s">
        <v>403</v>
      </c>
    </row>
    <row r="514" customFormat="false" ht="15" hidden="false" customHeight="false" outlineLevel="0" collapsed="false">
      <c r="A514" s="0" t="n">
        <v>44270</v>
      </c>
      <c r="B514" s="0" t="s">
        <v>404</v>
      </c>
    </row>
    <row r="515" customFormat="false" ht="15" hidden="false" customHeight="false" outlineLevel="0" collapsed="false">
      <c r="A515" s="0" t="n">
        <v>44881</v>
      </c>
      <c r="B515" s="0" t="s">
        <v>405</v>
      </c>
    </row>
    <row r="516" customFormat="false" ht="15" hidden="false" customHeight="false" outlineLevel="0" collapsed="false">
      <c r="A516" s="0" t="n">
        <v>44938</v>
      </c>
      <c r="B516" s="0" t="s">
        <v>406</v>
      </c>
    </row>
    <row r="517" customFormat="false" ht="15" hidden="false" customHeight="false" outlineLevel="0" collapsed="false">
      <c r="A517" s="0" t="n">
        <v>44954</v>
      </c>
      <c r="B517" s="0" t="s">
        <v>407</v>
      </c>
    </row>
    <row r="518" customFormat="false" ht="15" hidden="false" customHeight="false" outlineLevel="0" collapsed="false">
      <c r="A518" s="0" t="n">
        <v>45047</v>
      </c>
      <c r="B518" s="0" t="s">
        <v>408</v>
      </c>
    </row>
    <row r="519" customFormat="false" ht="15" hidden="false" customHeight="false" outlineLevel="0" collapsed="false">
      <c r="A519" s="0" t="n">
        <v>45055</v>
      </c>
      <c r="B519" s="0" t="s">
        <v>409</v>
      </c>
    </row>
    <row r="520" customFormat="false" ht="15" hidden="false" customHeight="false" outlineLevel="0" collapsed="false">
      <c r="A520" s="0" t="n">
        <v>45098</v>
      </c>
      <c r="B520" s="0" t="n">
        <v>2099609000195</v>
      </c>
    </row>
    <row r="521" customFormat="false" ht="15" hidden="false" customHeight="false" outlineLevel="0" collapsed="false">
      <c r="A521" s="0" t="n">
        <v>45110</v>
      </c>
      <c r="B521" s="0" t="s">
        <v>410</v>
      </c>
    </row>
    <row r="522" customFormat="false" ht="15" hidden="false" customHeight="false" outlineLevel="0" collapsed="false">
      <c r="A522" s="0" t="n">
        <v>45403</v>
      </c>
      <c r="B522" s="0" t="s">
        <v>411</v>
      </c>
    </row>
    <row r="523" customFormat="false" ht="15" hidden="false" customHeight="false" outlineLevel="0" collapsed="false">
      <c r="A523" s="0" t="n">
        <v>45780</v>
      </c>
      <c r="B523" s="0" t="n">
        <v>2507209000171</v>
      </c>
    </row>
    <row r="524" customFormat="false" ht="15" hidden="false" customHeight="false" outlineLevel="0" collapsed="false">
      <c r="A524" s="0" t="n">
        <v>45810</v>
      </c>
      <c r="B524" s="0" t="s">
        <v>412</v>
      </c>
    </row>
    <row r="525" customFormat="false" ht="15" hidden="false" customHeight="false" outlineLevel="0" collapsed="false">
      <c r="A525" s="0" t="n">
        <v>45829</v>
      </c>
      <c r="B525" s="0" t="s">
        <v>413</v>
      </c>
    </row>
    <row r="526" customFormat="false" ht="15" hidden="false" customHeight="false" outlineLevel="0" collapsed="false">
      <c r="A526" s="0" t="n">
        <v>46426</v>
      </c>
      <c r="B526" s="0" t="n">
        <v>18740918000132</v>
      </c>
    </row>
    <row r="527" customFormat="false" ht="15" hidden="false" customHeight="false" outlineLevel="0" collapsed="false">
      <c r="A527" s="0" t="n">
        <v>46434</v>
      </c>
      <c r="B527" s="0" t="s">
        <v>414</v>
      </c>
    </row>
    <row r="528" customFormat="false" ht="15" hidden="false" customHeight="false" outlineLevel="0" collapsed="false">
      <c r="A528" s="0" t="n">
        <v>46442</v>
      </c>
      <c r="B528" s="0" t="s">
        <v>415</v>
      </c>
    </row>
    <row r="529" customFormat="false" ht="15" hidden="false" customHeight="false" outlineLevel="0" collapsed="false">
      <c r="A529" s="0" t="n">
        <v>49549</v>
      </c>
      <c r="B529" s="0" t="s">
        <v>416</v>
      </c>
    </row>
    <row r="530" customFormat="false" ht="15" hidden="false" customHeight="false" outlineLevel="0" collapsed="false">
      <c r="A530" s="0" t="n">
        <v>49646</v>
      </c>
      <c r="B530" s="0" t="s">
        <v>417</v>
      </c>
    </row>
    <row r="531" customFormat="false" ht="15" hidden="false" customHeight="false" outlineLevel="0" collapsed="false">
      <c r="A531" s="0" t="n">
        <v>49689</v>
      </c>
      <c r="B531" s="0" t="s">
        <v>418</v>
      </c>
    </row>
    <row r="532" customFormat="false" ht="15" hidden="false" customHeight="false" outlineLevel="0" collapsed="false">
      <c r="A532" s="0" t="n">
        <v>49697</v>
      </c>
      <c r="B532" s="0" t="s">
        <v>419</v>
      </c>
    </row>
    <row r="533" customFormat="false" ht="15" hidden="false" customHeight="false" outlineLevel="0" collapsed="false">
      <c r="A533" s="0" t="n">
        <v>49786</v>
      </c>
      <c r="B533" s="0" t="s">
        <v>420</v>
      </c>
    </row>
    <row r="534" customFormat="false" ht="15" hidden="false" customHeight="false" outlineLevel="0" collapsed="false">
      <c r="A534" s="0" t="n">
        <v>49794</v>
      </c>
      <c r="B534" s="0" t="s">
        <v>421</v>
      </c>
    </row>
    <row r="535" customFormat="false" ht="15" hidden="false" customHeight="false" outlineLevel="0" collapsed="false">
      <c r="A535" s="0" t="n">
        <v>49832</v>
      </c>
      <c r="B535" s="0" t="s">
        <v>422</v>
      </c>
    </row>
    <row r="536" customFormat="false" ht="15" hidden="false" customHeight="false" outlineLevel="0" collapsed="false">
      <c r="A536" s="0" t="n">
        <v>49859</v>
      </c>
      <c r="B536" s="0" t="s">
        <v>423</v>
      </c>
    </row>
    <row r="537" customFormat="false" ht="15" hidden="false" customHeight="false" outlineLevel="0" collapsed="false">
      <c r="A537" s="0" t="n">
        <v>49875</v>
      </c>
      <c r="B537" s="0" t="s">
        <v>424</v>
      </c>
    </row>
    <row r="538" customFormat="false" ht="15" hidden="false" customHeight="false" outlineLevel="0" collapsed="false">
      <c r="A538" s="0" t="n">
        <v>49883</v>
      </c>
      <c r="B538" s="0" t="s">
        <v>425</v>
      </c>
    </row>
    <row r="539" customFormat="false" ht="15" hidden="false" customHeight="false" outlineLevel="0" collapsed="false">
      <c r="A539" s="0" t="n">
        <v>49905</v>
      </c>
      <c r="B539" s="0" t="n">
        <v>2990725000108</v>
      </c>
    </row>
    <row r="540" customFormat="false" ht="15" hidden="false" customHeight="false" outlineLevel="0" collapsed="false">
      <c r="A540" s="0" t="n">
        <v>49913</v>
      </c>
      <c r="B540" s="0" t="s">
        <v>426</v>
      </c>
    </row>
    <row r="541" customFormat="false" ht="15" hidden="false" customHeight="false" outlineLevel="0" collapsed="false">
      <c r="A541" s="0" t="n">
        <v>49921</v>
      </c>
      <c r="B541" s="0" t="n">
        <v>2923347000131</v>
      </c>
    </row>
    <row r="542" customFormat="false" ht="15" hidden="false" customHeight="false" outlineLevel="0" collapsed="false">
      <c r="A542" s="0" t="n">
        <v>49956</v>
      </c>
      <c r="B542" s="0" t="s">
        <v>427</v>
      </c>
    </row>
    <row r="543" customFormat="false" ht="15" hidden="false" customHeight="false" outlineLevel="0" collapsed="false">
      <c r="A543" s="0" t="n">
        <v>49964</v>
      </c>
      <c r="B543" s="0" t="s">
        <v>428</v>
      </c>
    </row>
    <row r="544" customFormat="false" ht="15" hidden="false" customHeight="false" outlineLevel="0" collapsed="false">
      <c r="A544" s="0" t="n">
        <v>49999</v>
      </c>
      <c r="B544" s="0" t="n">
        <v>3186649000137</v>
      </c>
    </row>
    <row r="545" customFormat="false" ht="15" hidden="false" customHeight="false" outlineLevel="0" collapsed="false">
      <c r="A545" s="0" t="n">
        <v>50008</v>
      </c>
      <c r="B545" s="0" t="n">
        <v>3225520000190</v>
      </c>
    </row>
    <row r="546" customFormat="false" ht="15" hidden="false" customHeight="false" outlineLevel="0" collapsed="false">
      <c r="A546" s="0" t="n">
        <v>50016</v>
      </c>
      <c r="B546" s="0" t="n">
        <v>3231490000125</v>
      </c>
    </row>
    <row r="547" customFormat="false" ht="15" hidden="false" customHeight="false" outlineLevel="0" collapsed="false">
      <c r="A547" s="0" t="n">
        <v>50024</v>
      </c>
      <c r="B547" s="0" t="n">
        <v>3102716000198</v>
      </c>
    </row>
    <row r="548" customFormat="false" ht="15" hidden="false" customHeight="false" outlineLevel="0" collapsed="false">
      <c r="A548" s="0" t="n">
        <v>50032</v>
      </c>
      <c r="B548" s="0" t="n">
        <v>3118597000161</v>
      </c>
    </row>
    <row r="549" customFormat="false" ht="15" hidden="false" customHeight="false" outlineLevel="0" collapsed="false">
      <c r="A549" s="0" t="n">
        <v>50164</v>
      </c>
      <c r="B549" s="0" t="n">
        <v>3264299000180</v>
      </c>
    </row>
    <row r="550" customFormat="false" ht="15" hidden="false" customHeight="false" outlineLevel="0" collapsed="false">
      <c r="A550" s="0" t="n">
        <v>50172</v>
      </c>
      <c r="B550" s="0" t="s">
        <v>429</v>
      </c>
    </row>
    <row r="551" customFormat="false" ht="15" hidden="false" customHeight="false" outlineLevel="0" collapsed="false">
      <c r="A551" s="0" t="n">
        <v>50180</v>
      </c>
      <c r="B551" s="0" t="n">
        <v>347668300146</v>
      </c>
    </row>
    <row r="552" customFormat="false" ht="15" hidden="false" customHeight="false" outlineLevel="0" collapsed="false">
      <c r="A552" s="0" t="n">
        <v>50199</v>
      </c>
      <c r="B552" s="0" t="n">
        <v>3204985000165</v>
      </c>
    </row>
    <row r="553" customFormat="false" ht="15" hidden="false" customHeight="false" outlineLevel="0" collapsed="false">
      <c r="A553" s="0" t="n">
        <v>56650</v>
      </c>
      <c r="B553" s="0" t="n">
        <v>25531274000138</v>
      </c>
    </row>
    <row r="554" customFormat="false" ht="15" hidden="false" customHeight="false" outlineLevel="0" collapsed="false">
      <c r="A554" s="0" t="n">
        <v>56693</v>
      </c>
      <c r="B554" s="0" t="n">
        <v>19085889000185</v>
      </c>
    </row>
    <row r="555" customFormat="false" ht="15" hidden="false" customHeight="false" outlineLevel="0" collapsed="false">
      <c r="A555" s="0" t="n">
        <v>60194</v>
      </c>
      <c r="B555" s="0" t="s">
        <v>430</v>
      </c>
    </row>
    <row r="556" customFormat="false" ht="15" hidden="false" customHeight="false" outlineLevel="0" collapsed="false">
      <c r="A556" s="0" t="n">
        <v>60208</v>
      </c>
      <c r="B556" s="0" t="s">
        <v>431</v>
      </c>
    </row>
    <row r="557" customFormat="false" ht="15" hidden="false" customHeight="false" outlineLevel="0" collapsed="false">
      <c r="A557" s="0" t="n">
        <v>60224</v>
      </c>
      <c r="B557" s="0" t="s">
        <v>432</v>
      </c>
    </row>
    <row r="558" customFormat="false" ht="15" hidden="false" customHeight="false" outlineLevel="0" collapsed="false">
      <c r="A558" s="0" t="n">
        <v>60267</v>
      </c>
    </row>
    <row r="559" customFormat="false" ht="15" hidden="false" customHeight="false" outlineLevel="0" collapsed="false">
      <c r="A559" s="0" t="n">
        <v>61298</v>
      </c>
      <c r="B559" s="0" t="s">
        <v>433</v>
      </c>
    </row>
    <row r="560" customFormat="false" ht="15" hidden="false" customHeight="false" outlineLevel="0" collapsed="false">
      <c r="A560" s="0" t="n">
        <v>61441</v>
      </c>
      <c r="B560" s="0" t="s">
        <v>434</v>
      </c>
    </row>
    <row r="561" customFormat="false" ht="15" hidden="false" customHeight="false" outlineLevel="0" collapsed="false">
      <c r="A561" s="0" t="n">
        <v>63894</v>
      </c>
      <c r="B561" s="0" t="n">
        <v>2493171000125</v>
      </c>
    </row>
    <row r="562" customFormat="false" ht="15" hidden="false" customHeight="false" outlineLevel="0" collapsed="false">
      <c r="A562" s="0" t="n">
        <v>64149</v>
      </c>
      <c r="B562" s="0" t="s">
        <v>435</v>
      </c>
    </row>
    <row r="563" customFormat="false" ht="15" hidden="false" customHeight="false" outlineLevel="0" collapsed="false">
      <c r="A563" s="0" t="n">
        <v>65480</v>
      </c>
      <c r="B563" s="0" t="n">
        <v>19896048000158</v>
      </c>
    </row>
    <row r="564" customFormat="false" ht="15" hidden="false" customHeight="false" outlineLevel="0" collapsed="false">
      <c r="A564" s="0" t="n">
        <v>65498</v>
      </c>
      <c r="B564" s="0" t="s">
        <v>436</v>
      </c>
    </row>
    <row r="565" customFormat="false" ht="15" hidden="false" customHeight="false" outlineLevel="0" collapsed="false">
      <c r="A565" s="0" t="n">
        <v>65587</v>
      </c>
      <c r="B565" s="0" t="s">
        <v>437</v>
      </c>
    </row>
    <row r="566" customFormat="false" ht="15" hidden="false" customHeight="false" outlineLevel="0" collapsed="false">
      <c r="A566" s="0" t="n">
        <v>68713</v>
      </c>
      <c r="B566" s="0" t="s">
        <v>438</v>
      </c>
    </row>
    <row r="567" customFormat="false" ht="15" hidden="false" customHeight="false" outlineLevel="0" collapsed="false">
      <c r="A567" s="0" t="n">
        <v>69140</v>
      </c>
      <c r="B567" s="0" t="s">
        <v>439</v>
      </c>
    </row>
    <row r="568" customFormat="false" ht="15" hidden="false" customHeight="false" outlineLevel="0" collapsed="false">
      <c r="A568" s="0" t="n">
        <v>69191</v>
      </c>
      <c r="B568" s="0" t="s">
        <v>440</v>
      </c>
    </row>
    <row r="569" customFormat="false" ht="15" hidden="false" customHeight="false" outlineLevel="0" collapsed="false">
      <c r="A569" s="0" t="n">
        <v>69205</v>
      </c>
      <c r="B569" s="0" t="s">
        <v>441</v>
      </c>
    </row>
    <row r="570" customFormat="false" ht="15" hidden="false" customHeight="false" outlineLevel="0" collapsed="false">
      <c r="A570" s="0" t="n">
        <v>69230</v>
      </c>
      <c r="B570" s="0" t="s">
        <v>442</v>
      </c>
    </row>
    <row r="571" customFormat="false" ht="15" hidden="false" customHeight="false" outlineLevel="0" collapsed="false">
      <c r="A571" s="0" t="n">
        <v>69264</v>
      </c>
      <c r="B571" s="0" t="s">
        <v>443</v>
      </c>
    </row>
    <row r="572" customFormat="false" ht="15" hidden="false" customHeight="false" outlineLevel="0" collapsed="false">
      <c r="A572" s="0" t="n">
        <v>69280</v>
      </c>
      <c r="B572" s="0" t="s">
        <v>444</v>
      </c>
    </row>
    <row r="573" customFormat="false" ht="15" hidden="false" customHeight="false" outlineLevel="0" collapsed="false">
      <c r="A573" s="0" t="n">
        <v>69299</v>
      </c>
      <c r="B573" s="0" t="s">
        <v>445</v>
      </c>
    </row>
    <row r="574" customFormat="false" ht="15" hidden="false" customHeight="false" outlineLevel="0" collapsed="false">
      <c r="A574" s="0" t="n">
        <v>69302</v>
      </c>
      <c r="B574" s="0" t="s">
        <v>446</v>
      </c>
    </row>
    <row r="575" customFormat="false" ht="15" hidden="false" customHeight="false" outlineLevel="0" collapsed="false">
      <c r="A575" s="0" t="n">
        <v>69329</v>
      </c>
      <c r="B575" s="0" t="s">
        <v>447</v>
      </c>
    </row>
    <row r="576" customFormat="false" ht="15" hidden="false" customHeight="false" outlineLevel="0" collapsed="false">
      <c r="A576" s="0" t="n">
        <v>69400</v>
      </c>
      <c r="B576" s="0" t="s">
        <v>448</v>
      </c>
    </row>
    <row r="577" customFormat="false" ht="15" hidden="false" customHeight="false" outlineLevel="0" collapsed="false">
      <c r="A577" s="0" t="n">
        <v>69450</v>
      </c>
      <c r="B577" s="0" t="n">
        <v>20300439000147</v>
      </c>
    </row>
    <row r="578" customFormat="false" ht="15" hidden="false" customHeight="false" outlineLevel="0" collapsed="false">
      <c r="A578" s="0" t="n">
        <v>69469</v>
      </c>
      <c r="B578" s="0" t="s">
        <v>449</v>
      </c>
    </row>
    <row r="579" customFormat="false" ht="15" hidden="false" customHeight="false" outlineLevel="0" collapsed="false">
      <c r="A579" s="0" t="n">
        <v>69493</v>
      </c>
      <c r="B579" s="0" t="s">
        <v>450</v>
      </c>
    </row>
    <row r="580" customFormat="false" ht="15" hidden="false" customHeight="false" outlineLevel="0" collapsed="false">
      <c r="A580" s="0" t="n">
        <v>69523</v>
      </c>
      <c r="B580" s="0" t="s">
        <v>451</v>
      </c>
    </row>
    <row r="581" customFormat="false" ht="15" hidden="false" customHeight="false" outlineLevel="0" collapsed="false">
      <c r="A581" s="0" t="n">
        <v>69558</v>
      </c>
      <c r="B581" s="0" t="s">
        <v>452</v>
      </c>
    </row>
    <row r="582" customFormat="false" ht="15" hidden="false" customHeight="false" outlineLevel="0" collapsed="false">
      <c r="A582" s="0" t="n">
        <v>69574</v>
      </c>
      <c r="B582" s="0" t="n">
        <v>18820504000113</v>
      </c>
    </row>
    <row r="583" customFormat="false" ht="15" hidden="false" customHeight="false" outlineLevel="0" collapsed="false">
      <c r="A583" s="0" t="n">
        <v>69582</v>
      </c>
      <c r="B583" s="0" t="s">
        <v>453</v>
      </c>
    </row>
    <row r="584" customFormat="false" ht="15" hidden="false" customHeight="false" outlineLevel="0" collapsed="false">
      <c r="A584" s="0" t="n">
        <v>69612</v>
      </c>
      <c r="B584" s="0" t="s">
        <v>454</v>
      </c>
    </row>
    <row r="585" customFormat="false" ht="15" hidden="false" customHeight="false" outlineLevel="0" collapsed="false">
      <c r="A585" s="0" t="n">
        <v>71765</v>
      </c>
      <c r="B585" s="0" t="s">
        <v>455</v>
      </c>
    </row>
    <row r="586" customFormat="false" ht="15" hidden="false" customHeight="false" outlineLevel="0" collapsed="false">
      <c r="A586" s="0" t="n">
        <v>71773</v>
      </c>
      <c r="B586" s="0" t="s">
        <v>456</v>
      </c>
    </row>
    <row r="587" customFormat="false" ht="15" hidden="false" customHeight="false" outlineLevel="0" collapsed="false">
      <c r="A587" s="0" t="n">
        <v>71781</v>
      </c>
      <c r="B587" s="0" t="n">
        <v>18120177000197</v>
      </c>
    </row>
    <row r="588" customFormat="false" ht="15" hidden="false" customHeight="false" outlineLevel="0" collapsed="false">
      <c r="A588" s="0" t="n">
        <v>71790</v>
      </c>
      <c r="B588" s="0" t="s">
        <v>457</v>
      </c>
    </row>
    <row r="589" customFormat="false" ht="15" hidden="false" customHeight="false" outlineLevel="0" collapsed="false">
      <c r="A589" s="0" t="n">
        <v>71803</v>
      </c>
      <c r="B589" s="0" t="n">
        <v>1994098000102</v>
      </c>
    </row>
    <row r="590" customFormat="false" ht="15" hidden="false" customHeight="false" outlineLevel="0" collapsed="false">
      <c r="A590" s="0" t="n">
        <v>71820</v>
      </c>
      <c r="B590" s="0" t="s">
        <v>458</v>
      </c>
    </row>
    <row r="591" customFormat="false" ht="15" hidden="false" customHeight="false" outlineLevel="0" collapsed="false">
      <c r="A591" s="0" t="n">
        <v>71838</v>
      </c>
      <c r="B591" s="0" t="s">
        <v>459</v>
      </c>
    </row>
    <row r="592" customFormat="false" ht="15" hidden="false" customHeight="false" outlineLevel="0" collapsed="false">
      <c r="A592" s="0" t="n">
        <v>75116</v>
      </c>
      <c r="B592" s="0" t="s">
        <v>460</v>
      </c>
    </row>
    <row r="593" customFormat="false" ht="15" hidden="false" customHeight="false" outlineLevel="0" collapsed="false">
      <c r="A593" s="0" t="n">
        <v>75400</v>
      </c>
    </row>
    <row r="594" customFormat="false" ht="15" hidden="false" customHeight="false" outlineLevel="0" collapsed="false">
      <c r="A594" s="0" t="n">
        <v>75680</v>
      </c>
      <c r="B594" s="0" t="s">
        <v>461</v>
      </c>
    </row>
    <row r="595" customFormat="false" ht="15" hidden="false" customHeight="false" outlineLevel="0" collapsed="false">
      <c r="A595" s="0" t="n">
        <v>75698</v>
      </c>
      <c r="B595" s="0" t="s">
        <v>462</v>
      </c>
    </row>
    <row r="596" customFormat="false" ht="15" hidden="false" customHeight="false" outlineLevel="0" collapsed="false">
      <c r="A596" s="0" t="n">
        <v>75710</v>
      </c>
      <c r="B596" s="0" t="s">
        <v>463</v>
      </c>
    </row>
    <row r="597" customFormat="false" ht="15" hidden="false" customHeight="false" outlineLevel="0" collapsed="false">
      <c r="A597" s="0" t="n">
        <v>75728</v>
      </c>
      <c r="B597" s="0" t="s">
        <v>464</v>
      </c>
    </row>
    <row r="598" customFormat="false" ht="15" hidden="false" customHeight="false" outlineLevel="0" collapsed="false">
      <c r="A598" s="0" t="n">
        <v>76180</v>
      </c>
      <c r="B598" s="0" t="s">
        <v>465</v>
      </c>
    </row>
    <row r="599" customFormat="false" ht="15" hidden="false" customHeight="false" outlineLevel="0" collapsed="false">
      <c r="A599" s="0" t="n">
        <v>76198</v>
      </c>
      <c r="B599" s="0" t="s">
        <v>466</v>
      </c>
    </row>
    <row r="600" customFormat="false" ht="15" hidden="false" customHeight="false" outlineLevel="0" collapsed="false">
      <c r="A600" s="0" t="n">
        <v>76201</v>
      </c>
      <c r="B600" s="0" t="s">
        <v>467</v>
      </c>
    </row>
    <row r="601" customFormat="false" ht="15" hidden="false" customHeight="false" outlineLevel="0" collapsed="false">
      <c r="A601" s="0" t="n">
        <v>76210</v>
      </c>
      <c r="B601" s="0" t="n">
        <v>5701269000119</v>
      </c>
    </row>
    <row r="602" customFormat="false" ht="15" hidden="false" customHeight="false" outlineLevel="0" collapsed="false">
      <c r="A602" s="0" t="n">
        <v>76228</v>
      </c>
      <c r="B602" s="0" t="s">
        <v>468</v>
      </c>
    </row>
    <row r="603" customFormat="false" ht="15" hidden="false" customHeight="false" outlineLevel="0" collapsed="false">
      <c r="A603" s="0" t="n">
        <v>76929</v>
      </c>
      <c r="B603" s="0" t="s">
        <v>469</v>
      </c>
    </row>
    <row r="604" customFormat="false" ht="15" hidden="false" customHeight="false" outlineLevel="0" collapsed="false">
      <c r="A604" s="0" t="n">
        <v>77895</v>
      </c>
      <c r="B604" s="0" t="s">
        <v>470</v>
      </c>
    </row>
    <row r="605" customFormat="false" ht="15" hidden="false" customHeight="false" outlineLevel="0" collapsed="false">
      <c r="A605" s="0" t="n">
        <v>77925</v>
      </c>
      <c r="B605" s="0" t="s">
        <v>471</v>
      </c>
    </row>
    <row r="606" customFormat="false" ht="15" hidden="false" customHeight="false" outlineLevel="0" collapsed="false">
      <c r="A606" s="0" t="n">
        <v>78280</v>
      </c>
      <c r="B606" s="0" t="s">
        <v>472</v>
      </c>
    </row>
    <row r="607" customFormat="false" ht="15" hidden="false" customHeight="false" outlineLevel="0" collapsed="false">
      <c r="A607" s="0" t="n">
        <v>78298</v>
      </c>
      <c r="B607" s="0" t="s">
        <v>473</v>
      </c>
    </row>
    <row r="608" customFormat="false" ht="15" hidden="false" customHeight="false" outlineLevel="0" collapsed="false">
      <c r="A608" s="0" t="n">
        <v>82252</v>
      </c>
      <c r="B608" s="0" t="s">
        <v>474</v>
      </c>
    </row>
    <row r="609" customFormat="false" ht="15" hidden="false" customHeight="false" outlineLevel="0" collapsed="false">
      <c r="A609" s="0" t="n">
        <v>82260</v>
      </c>
      <c r="B609" s="0" t="s">
        <v>475</v>
      </c>
    </row>
    <row r="610" customFormat="false" ht="15" hidden="false" customHeight="false" outlineLevel="0" collapsed="false">
      <c r="A610" s="0" t="n">
        <v>83607</v>
      </c>
      <c r="B610" s="0" t="s">
        <v>476</v>
      </c>
    </row>
    <row r="611" customFormat="false" ht="15" hidden="false" customHeight="false" outlineLevel="0" collapsed="false">
      <c r="A611" s="0" t="n">
        <v>84336</v>
      </c>
      <c r="B611" s="0" t="s">
        <v>477</v>
      </c>
    </row>
    <row r="612" customFormat="false" ht="15" hidden="false" customHeight="false" outlineLevel="0" collapsed="false">
      <c r="A612" s="0" t="n">
        <v>84344</v>
      </c>
      <c r="B612" s="0" t="s">
        <v>478</v>
      </c>
    </row>
    <row r="613" customFormat="false" ht="15" hidden="false" customHeight="false" outlineLevel="0" collapsed="false">
      <c r="A613" s="0" t="n">
        <v>91421</v>
      </c>
      <c r="B613" s="0" t="s">
        <v>479</v>
      </c>
    </row>
    <row r="614" customFormat="false" ht="15" hidden="false" customHeight="false" outlineLevel="0" collapsed="false">
      <c r="A614" s="0" t="n">
        <v>91448</v>
      </c>
      <c r="B614" s="0" t="s">
        <v>480</v>
      </c>
    </row>
    <row r="615" customFormat="false" ht="15" hidden="false" customHeight="false" outlineLevel="0" collapsed="false">
      <c r="A615" s="0" t="n">
        <v>91456</v>
      </c>
      <c r="B615" s="0" t="s">
        <v>481</v>
      </c>
    </row>
    <row r="616" customFormat="false" ht="15" hidden="false" customHeight="false" outlineLevel="0" collapsed="false">
      <c r="A616" s="0" t="n">
        <v>94420</v>
      </c>
      <c r="B616" s="0" t="s">
        <v>482</v>
      </c>
    </row>
    <row r="617" customFormat="false" ht="15" hidden="false" customHeight="false" outlineLevel="0" collapsed="false">
      <c r="A617" s="0" t="n">
        <v>94439</v>
      </c>
      <c r="B617" s="0" t="s">
        <v>483</v>
      </c>
    </row>
    <row r="618" customFormat="false" ht="15" hidden="false" customHeight="false" outlineLevel="0" collapsed="false">
      <c r="A618" s="0" t="n">
        <v>96784</v>
      </c>
      <c r="B618" s="0" t="s">
        <v>484</v>
      </c>
    </row>
    <row r="619" customFormat="false" ht="15" hidden="false" customHeight="false" outlineLevel="0" collapsed="false">
      <c r="A619" s="0" t="n">
        <v>96865</v>
      </c>
      <c r="B619" s="0" t="s">
        <v>485</v>
      </c>
    </row>
    <row r="620" customFormat="false" ht="15" hidden="false" customHeight="false" outlineLevel="0" collapsed="false">
      <c r="A620" s="0" t="n">
        <v>97004</v>
      </c>
      <c r="B620" s="0" t="s">
        <v>486</v>
      </c>
    </row>
    <row r="621" customFormat="false" ht="15" hidden="false" customHeight="false" outlineLevel="0" collapsed="false">
      <c r="A621" s="0" t="n">
        <v>97012</v>
      </c>
      <c r="B621" s="0" t="s">
        <v>487</v>
      </c>
    </row>
    <row r="622" customFormat="false" ht="15" hidden="false" customHeight="false" outlineLevel="0" collapsed="false">
      <c r="A622" s="0" t="n">
        <v>98426</v>
      </c>
    </row>
    <row r="623" customFormat="false" ht="15" hidden="false" customHeight="false" outlineLevel="0" collapsed="false">
      <c r="A623" s="0" t="n">
        <v>98434</v>
      </c>
    </row>
    <row r="624" customFormat="false" ht="15" hidden="false" customHeight="false" outlineLevel="0" collapsed="false">
      <c r="A624" s="0" t="n">
        <v>102326</v>
      </c>
      <c r="B624" s="0" t="s">
        <v>488</v>
      </c>
    </row>
    <row r="625" customFormat="false" ht="15" hidden="false" customHeight="false" outlineLevel="0" collapsed="false">
      <c r="A625" s="0" t="n">
        <v>104230</v>
      </c>
      <c r="B625" s="0" t="s">
        <v>489</v>
      </c>
    </row>
    <row r="626" customFormat="false" ht="15" hidden="false" customHeight="false" outlineLevel="0" collapsed="false">
      <c r="A626" s="0" t="n">
        <v>104248</v>
      </c>
      <c r="B626" s="0" t="s">
        <v>490</v>
      </c>
    </row>
    <row r="627" customFormat="false" ht="15" hidden="false" customHeight="false" outlineLevel="0" collapsed="false">
      <c r="A627" s="0" t="n">
        <v>106020</v>
      </c>
      <c r="B627" s="0" t="s">
        <v>491</v>
      </c>
    </row>
    <row r="628" customFormat="false" ht="15" hidden="false" customHeight="false" outlineLevel="0" collapsed="false">
      <c r="A628" s="0" t="n">
        <v>107263</v>
      </c>
      <c r="B628" s="0" t="s">
        <v>492</v>
      </c>
    </row>
    <row r="629" customFormat="false" ht="15" hidden="false" customHeight="false" outlineLevel="0" collapsed="false">
      <c r="A629" s="0" t="n">
        <v>107808</v>
      </c>
      <c r="B629" s="0" t="s">
        <v>493</v>
      </c>
    </row>
    <row r="630" customFormat="false" ht="15" hidden="false" customHeight="false" outlineLevel="0" collapsed="false">
      <c r="A630" s="0" t="n">
        <v>109436</v>
      </c>
      <c r="B630" s="0" t="s">
        <v>494</v>
      </c>
    </row>
    <row r="631" customFormat="false" ht="15" hidden="false" customHeight="false" outlineLevel="0" collapsed="false">
      <c r="A631" s="0" t="n">
        <v>109444</v>
      </c>
      <c r="B631" s="0" t="s">
        <v>495</v>
      </c>
    </row>
    <row r="632" customFormat="false" ht="15" hidden="false" customHeight="false" outlineLevel="0" collapsed="false">
      <c r="A632" s="0" t="n">
        <v>114553</v>
      </c>
      <c r="B632" s="0" t="s">
        <v>496</v>
      </c>
    </row>
    <row r="633" customFormat="false" ht="15" hidden="false" customHeight="false" outlineLevel="0" collapsed="false">
      <c r="A633" s="0" t="n">
        <v>114561</v>
      </c>
      <c r="B633" s="0" t="s">
        <v>497</v>
      </c>
    </row>
    <row r="634" customFormat="false" ht="15" hidden="false" customHeight="false" outlineLevel="0" collapsed="false">
      <c r="A634" s="0" t="n">
        <v>115231</v>
      </c>
      <c r="B634" s="0" t="s">
        <v>498</v>
      </c>
    </row>
    <row r="635" customFormat="false" ht="15" hidden="false" customHeight="false" outlineLevel="0" collapsed="false">
      <c r="A635" s="0" t="n">
        <v>117587</v>
      </c>
      <c r="B635" s="0" t="s">
        <v>499</v>
      </c>
    </row>
    <row r="636" customFormat="false" ht="15" hidden="false" customHeight="false" outlineLevel="0" collapsed="false">
      <c r="A636" s="0" t="n">
        <v>117595</v>
      </c>
      <c r="B636" s="0" t="s">
        <v>500</v>
      </c>
    </row>
    <row r="637" customFormat="false" ht="15" hidden="false" customHeight="false" outlineLevel="0" collapsed="false">
      <c r="A637" s="0" t="n">
        <v>118524</v>
      </c>
      <c r="B637" s="0" t="s">
        <v>501</v>
      </c>
    </row>
    <row r="638" customFormat="false" ht="15" hidden="false" customHeight="false" outlineLevel="0" collapsed="false">
      <c r="A638" s="0" t="n">
        <v>118532</v>
      </c>
      <c r="B638" s="0" t="s">
        <v>502</v>
      </c>
    </row>
    <row r="639" customFormat="false" ht="15" hidden="false" customHeight="false" outlineLevel="0" collapsed="false">
      <c r="A639" s="0" t="n">
        <v>118540</v>
      </c>
      <c r="B639" s="0" t="s">
        <v>503</v>
      </c>
    </row>
    <row r="640" customFormat="false" ht="15" hidden="false" customHeight="false" outlineLevel="0" collapsed="false">
      <c r="A640" s="0" t="n">
        <v>118559</v>
      </c>
      <c r="B640" s="0" t="s">
        <v>504</v>
      </c>
    </row>
    <row r="641" customFormat="false" ht="15" hidden="false" customHeight="false" outlineLevel="0" collapsed="false">
      <c r="A641" s="0" t="n">
        <v>118672</v>
      </c>
    </row>
    <row r="642" customFormat="false" ht="15" hidden="false" customHeight="false" outlineLevel="0" collapsed="false">
      <c r="A642" s="0" t="n">
        <v>119202</v>
      </c>
      <c r="B642" s="0" t="s">
        <v>505</v>
      </c>
    </row>
    <row r="643" customFormat="false" ht="15" hidden="false" customHeight="false" outlineLevel="0" collapsed="false">
      <c r="A643" s="0" t="n">
        <v>119210</v>
      </c>
      <c r="B643" s="0" t="s">
        <v>506</v>
      </c>
    </row>
    <row r="644" customFormat="false" ht="15" hidden="false" customHeight="false" outlineLevel="0" collapsed="false">
      <c r="A644" s="0" t="n">
        <v>119229</v>
      </c>
      <c r="B644" s="0" t="s">
        <v>507</v>
      </c>
    </row>
    <row r="645" customFormat="false" ht="15" hidden="false" customHeight="false" outlineLevel="0" collapsed="false">
      <c r="A645" s="0" t="n">
        <v>119237</v>
      </c>
      <c r="B645" s="0" t="s">
        <v>508</v>
      </c>
    </row>
    <row r="646" customFormat="false" ht="15" hidden="false" customHeight="false" outlineLevel="0" collapsed="false">
      <c r="A646" s="0" t="n">
        <v>119377</v>
      </c>
      <c r="B646" s="0" t="n">
        <v>8145959000127</v>
      </c>
    </row>
    <row r="647" customFormat="false" ht="15" hidden="false" customHeight="false" outlineLevel="0" collapsed="false">
      <c r="A647" s="0" t="n">
        <v>120936</v>
      </c>
      <c r="B647" s="0" t="s">
        <v>509</v>
      </c>
    </row>
    <row r="648" customFormat="false" ht="15" hidden="false" customHeight="false" outlineLevel="0" collapsed="false">
      <c r="A648" s="0" t="n">
        <v>120979</v>
      </c>
      <c r="B648" s="0" t="s">
        <v>510</v>
      </c>
    </row>
    <row r="649" customFormat="false" ht="15" hidden="false" customHeight="false" outlineLevel="0" collapsed="false">
      <c r="A649" s="0" t="n">
        <v>121789</v>
      </c>
      <c r="B649" s="0" t="n">
        <v>3507415000810</v>
      </c>
    </row>
    <row r="650" customFormat="false" ht="15" hidden="false" customHeight="false" outlineLevel="0" collapsed="false">
      <c r="A650" s="0" t="n">
        <v>121797</v>
      </c>
    </row>
    <row r="651" customFormat="false" ht="15" hidden="false" customHeight="false" outlineLevel="0" collapsed="false">
      <c r="A651" s="0" t="n">
        <v>122327</v>
      </c>
    </row>
    <row r="652" customFormat="false" ht="15" hidden="false" customHeight="false" outlineLevel="0" collapsed="false">
      <c r="A652" s="0" t="n">
        <v>123013</v>
      </c>
      <c r="B652" s="0" t="s">
        <v>511</v>
      </c>
    </row>
    <row r="653" customFormat="false" ht="15" hidden="false" customHeight="false" outlineLevel="0" collapsed="false">
      <c r="A653" s="0" t="n">
        <v>123021</v>
      </c>
      <c r="B653" s="0" t="s">
        <v>512</v>
      </c>
    </row>
    <row r="654" customFormat="false" ht="15" hidden="false" customHeight="false" outlineLevel="0" collapsed="false">
      <c r="A654" s="0" t="n">
        <v>123315</v>
      </c>
      <c r="B654" s="0" t="n">
        <v>1111111111</v>
      </c>
    </row>
    <row r="655" customFormat="false" ht="15" hidden="false" customHeight="false" outlineLevel="0" collapsed="false">
      <c r="A655" s="0" t="n">
        <v>123986</v>
      </c>
      <c r="B655" s="0" t="s">
        <v>513</v>
      </c>
    </row>
    <row r="656" customFormat="false" ht="15" hidden="false" customHeight="false" outlineLevel="0" collapsed="false">
      <c r="A656" s="0" t="n">
        <v>123994</v>
      </c>
      <c r="B656" s="0" t="s">
        <v>514</v>
      </c>
    </row>
    <row r="657" customFormat="false" ht="15" hidden="false" customHeight="false" outlineLevel="0" collapsed="false">
      <c r="A657" s="0" t="n">
        <v>124001</v>
      </c>
      <c r="B657" s="0" t="s">
        <v>515</v>
      </c>
    </row>
    <row r="658" customFormat="false" ht="15" hidden="false" customHeight="false" outlineLevel="0" collapsed="false">
      <c r="A658" s="0" t="n">
        <v>124010</v>
      </c>
      <c r="B658" s="0" t="s">
        <v>516</v>
      </c>
    </row>
    <row r="659" customFormat="false" ht="15" hidden="false" customHeight="false" outlineLevel="0" collapsed="false">
      <c r="A659" s="0" t="n">
        <v>124028</v>
      </c>
      <c r="B659" s="0" t="s">
        <v>517</v>
      </c>
    </row>
    <row r="660" customFormat="false" ht="15" hidden="false" customHeight="false" outlineLevel="0" collapsed="false">
      <c r="A660" s="0" t="n">
        <v>124044</v>
      </c>
      <c r="B660" s="0" t="s">
        <v>518</v>
      </c>
    </row>
    <row r="661" customFormat="false" ht="15" hidden="false" customHeight="false" outlineLevel="0" collapsed="false">
      <c r="A661" s="0" t="n">
        <v>124052</v>
      </c>
      <c r="B661" s="0" t="s">
        <v>519</v>
      </c>
    </row>
    <row r="662" customFormat="false" ht="15" hidden="false" customHeight="false" outlineLevel="0" collapsed="false">
      <c r="A662" s="0" t="n">
        <v>124060</v>
      </c>
      <c r="B662" s="0" t="s">
        <v>520</v>
      </c>
    </row>
    <row r="663" customFormat="false" ht="15" hidden="false" customHeight="false" outlineLevel="0" collapsed="false">
      <c r="A663" s="0" t="n">
        <v>124079</v>
      </c>
      <c r="B663" s="0" t="s">
        <v>521</v>
      </c>
    </row>
    <row r="664" customFormat="false" ht="15" hidden="false" customHeight="false" outlineLevel="0" collapsed="false">
      <c r="A664" s="0" t="n">
        <v>124087</v>
      </c>
      <c r="B664" s="0" t="s">
        <v>522</v>
      </c>
    </row>
    <row r="665" customFormat="false" ht="15" hidden="false" customHeight="false" outlineLevel="0" collapsed="false">
      <c r="A665" s="0" t="n">
        <v>124095</v>
      </c>
      <c r="B665" s="0" t="s">
        <v>523</v>
      </c>
    </row>
    <row r="666" customFormat="false" ht="15" hidden="false" customHeight="false" outlineLevel="0" collapsed="false">
      <c r="A666" s="0" t="n">
        <v>124109</v>
      </c>
      <c r="B666" s="0" t="s">
        <v>524</v>
      </c>
    </row>
    <row r="667" customFormat="false" ht="15" hidden="false" customHeight="false" outlineLevel="0" collapsed="false">
      <c r="A667" s="0" t="n">
        <v>124125</v>
      </c>
      <c r="B667" s="0" t="s">
        <v>525</v>
      </c>
    </row>
    <row r="668" customFormat="false" ht="15" hidden="false" customHeight="false" outlineLevel="0" collapsed="false">
      <c r="A668" s="0" t="n">
        <v>124184</v>
      </c>
    </row>
    <row r="669" customFormat="false" ht="15" hidden="false" customHeight="false" outlineLevel="0" collapsed="false">
      <c r="A669" s="0" t="n">
        <v>124192</v>
      </c>
    </row>
    <row r="670" customFormat="false" ht="15" hidden="false" customHeight="false" outlineLevel="0" collapsed="false">
      <c r="A670" s="0" t="n">
        <v>124206</v>
      </c>
    </row>
    <row r="671" customFormat="false" ht="15" hidden="false" customHeight="false" outlineLevel="0" collapsed="false">
      <c r="A671" s="0" t="n">
        <v>124290</v>
      </c>
    </row>
    <row r="672" customFormat="false" ht="15" hidden="false" customHeight="false" outlineLevel="0" collapsed="false">
      <c r="A672" s="0" t="n">
        <v>124435</v>
      </c>
      <c r="B672" s="0" t="n">
        <v>3507415000810</v>
      </c>
    </row>
    <row r="673" customFormat="false" ht="15" hidden="false" customHeight="false" outlineLevel="0" collapsed="false">
      <c r="A673" s="0" t="n">
        <v>124460</v>
      </c>
    </row>
    <row r="674" customFormat="false" ht="15" hidden="false" customHeight="false" outlineLevel="0" collapsed="false">
      <c r="A674" s="0" t="n">
        <v>124478</v>
      </c>
    </row>
    <row r="675" customFormat="false" ht="15" hidden="false" customHeight="false" outlineLevel="0" collapsed="false">
      <c r="A675" s="0" t="n">
        <v>124494</v>
      </c>
    </row>
    <row r="676" customFormat="false" ht="15" hidden="false" customHeight="false" outlineLevel="0" collapsed="false">
      <c r="A676" s="0" t="n">
        <v>124559</v>
      </c>
    </row>
    <row r="677" customFormat="false" ht="15" hidden="false" customHeight="false" outlineLevel="0" collapsed="false">
      <c r="A677" s="0" t="n">
        <v>124850</v>
      </c>
      <c r="B677" s="0" t="s">
        <v>526</v>
      </c>
    </row>
    <row r="678" customFormat="false" ht="15" hidden="false" customHeight="false" outlineLevel="0" collapsed="false">
      <c r="A678" s="0" t="n">
        <v>124869</v>
      </c>
      <c r="B678" s="0" t="s">
        <v>527</v>
      </c>
    </row>
    <row r="679" customFormat="false" ht="15" hidden="false" customHeight="false" outlineLevel="0" collapsed="false">
      <c r="A679" s="0" t="n">
        <v>124907</v>
      </c>
      <c r="B679" s="0" t="s">
        <v>528</v>
      </c>
    </row>
    <row r="680" customFormat="false" ht="15" hidden="false" customHeight="false" outlineLevel="0" collapsed="false">
      <c r="A680" s="0" t="n">
        <v>124923</v>
      </c>
      <c r="B680" s="0" t="s">
        <v>529</v>
      </c>
    </row>
    <row r="681" customFormat="false" ht="15" hidden="false" customHeight="false" outlineLevel="0" collapsed="false">
      <c r="A681" s="0" t="n">
        <v>127701</v>
      </c>
      <c r="B681" s="0" t="s">
        <v>530</v>
      </c>
    </row>
    <row r="682" customFormat="false" ht="15" hidden="false" customHeight="false" outlineLevel="0" collapsed="false">
      <c r="A682" s="0" t="n">
        <v>127728</v>
      </c>
      <c r="B682" s="0" t="s">
        <v>531</v>
      </c>
    </row>
    <row r="683" customFormat="false" ht="15" hidden="false" customHeight="false" outlineLevel="0" collapsed="false">
      <c r="A683" s="0" t="n">
        <v>128228</v>
      </c>
      <c r="B683" s="0" t="s">
        <v>532</v>
      </c>
    </row>
    <row r="684" customFormat="false" ht="15" hidden="false" customHeight="false" outlineLevel="0" collapsed="false">
      <c r="A684" s="0" t="n">
        <v>129232</v>
      </c>
      <c r="B684" s="0" t="s">
        <v>533</v>
      </c>
    </row>
    <row r="685" customFormat="false" ht="15" hidden="false" customHeight="false" outlineLevel="0" collapsed="false">
      <c r="A685" s="0" t="n">
        <v>129240</v>
      </c>
      <c r="B685" s="0" t="s">
        <v>534</v>
      </c>
    </row>
    <row r="686" customFormat="false" ht="15" hidden="false" customHeight="false" outlineLevel="0" collapsed="false">
      <c r="A686" s="0" t="n">
        <v>129259</v>
      </c>
      <c r="B686" s="0" t="s">
        <v>535</v>
      </c>
    </row>
    <row r="687" customFormat="false" ht="15" hidden="false" customHeight="false" outlineLevel="0" collapsed="false">
      <c r="A687" s="0" t="n">
        <v>131822</v>
      </c>
      <c r="B687" s="0" t="s">
        <v>536</v>
      </c>
    </row>
    <row r="688" customFormat="false" ht="15" hidden="false" customHeight="false" outlineLevel="0" collapsed="false">
      <c r="A688" s="0" t="n">
        <v>131830</v>
      </c>
      <c r="B688" s="0" t="s">
        <v>537</v>
      </c>
    </row>
    <row r="689" customFormat="false" ht="15" hidden="false" customHeight="false" outlineLevel="0" collapsed="false">
      <c r="A689" s="0" t="n">
        <v>131849</v>
      </c>
      <c r="B689" s="0" t="s">
        <v>538</v>
      </c>
    </row>
    <row r="690" customFormat="false" ht="15" hidden="false" customHeight="false" outlineLevel="0" collapsed="false">
      <c r="A690" s="0" t="n">
        <v>131857</v>
      </c>
      <c r="B690" s="0" t="s">
        <v>539</v>
      </c>
    </row>
    <row r="691" customFormat="false" ht="15" hidden="false" customHeight="false" outlineLevel="0" collapsed="false">
      <c r="A691" s="0" t="n">
        <v>137758</v>
      </c>
      <c r="B691" s="0" t="s">
        <v>540</v>
      </c>
    </row>
    <row r="692" customFormat="false" ht="15" hidden="false" customHeight="false" outlineLevel="0" collapsed="false">
      <c r="A692" s="0" t="n">
        <v>137766</v>
      </c>
      <c r="B692" s="0" t="s">
        <v>541</v>
      </c>
    </row>
    <row r="693" customFormat="false" ht="15" hidden="false" customHeight="false" outlineLevel="0" collapsed="false">
      <c r="A693" s="0" t="n">
        <v>137774</v>
      </c>
      <c r="B693" s="0" t="s">
        <v>542</v>
      </c>
    </row>
    <row r="694" customFormat="false" ht="15" hidden="false" customHeight="false" outlineLevel="0" collapsed="false">
      <c r="A694" s="0" t="n">
        <v>140805</v>
      </c>
      <c r="B694" s="0" t="s">
        <v>543</v>
      </c>
    </row>
    <row r="695" customFormat="false" ht="15" hidden="false" customHeight="false" outlineLevel="0" collapsed="false">
      <c r="A695" s="0" t="n">
        <v>140813</v>
      </c>
      <c r="B695" s="0" t="s">
        <v>544</v>
      </c>
    </row>
    <row r="696" customFormat="false" ht="15" hidden="false" customHeight="false" outlineLevel="0" collapsed="false">
      <c r="A696" s="0" t="n">
        <v>140988</v>
      </c>
      <c r="B696" s="0" t="s">
        <v>545</v>
      </c>
    </row>
    <row r="697" customFormat="false" ht="15" hidden="false" customHeight="false" outlineLevel="0" collapsed="false">
      <c r="A697" s="0" t="n">
        <v>142166</v>
      </c>
      <c r="B697" s="0" t="s">
        <v>546</v>
      </c>
    </row>
    <row r="698" customFormat="false" ht="15" hidden="false" customHeight="false" outlineLevel="0" collapsed="false">
      <c r="A698" s="0" t="n">
        <v>144460</v>
      </c>
    </row>
    <row r="699" customFormat="false" ht="15" hidden="false" customHeight="false" outlineLevel="0" collapsed="false">
      <c r="A699" s="0" t="n">
        <v>144479</v>
      </c>
    </row>
    <row r="700" customFormat="false" ht="15" hidden="false" customHeight="false" outlineLevel="0" collapsed="false">
      <c r="A700" s="0" t="n">
        <v>144525</v>
      </c>
    </row>
    <row r="701" customFormat="false" ht="15" hidden="false" customHeight="false" outlineLevel="0" collapsed="false">
      <c r="A701" s="0" t="n">
        <v>144550</v>
      </c>
    </row>
    <row r="702" customFormat="false" ht="15" hidden="false" customHeight="false" outlineLevel="0" collapsed="false">
      <c r="A702" s="0" t="n">
        <v>144576</v>
      </c>
    </row>
    <row r="703" customFormat="false" ht="15" hidden="false" customHeight="false" outlineLevel="0" collapsed="false">
      <c r="A703" s="0" t="n">
        <v>144606</v>
      </c>
    </row>
    <row r="704" customFormat="false" ht="15" hidden="false" customHeight="false" outlineLevel="0" collapsed="false">
      <c r="A704" s="0" t="n">
        <v>144622</v>
      </c>
    </row>
    <row r="705" customFormat="false" ht="15" hidden="false" customHeight="false" outlineLevel="0" collapsed="false">
      <c r="A705" s="0" t="n">
        <v>144630</v>
      </c>
    </row>
    <row r="706" customFormat="false" ht="15" hidden="false" customHeight="false" outlineLevel="0" collapsed="false">
      <c r="A706" s="0" t="n">
        <v>144649</v>
      </c>
    </row>
    <row r="707" customFormat="false" ht="15" hidden="false" customHeight="false" outlineLevel="0" collapsed="false">
      <c r="A707" s="0" t="n">
        <v>144673</v>
      </c>
    </row>
    <row r="708" customFormat="false" ht="15" hidden="false" customHeight="false" outlineLevel="0" collapsed="false">
      <c r="A708" s="0" t="n">
        <v>144681</v>
      </c>
    </row>
    <row r="709" customFormat="false" ht="15" hidden="false" customHeight="false" outlineLevel="0" collapsed="false">
      <c r="A709" s="0" t="n">
        <v>144703</v>
      </c>
    </row>
    <row r="710" customFormat="false" ht="15" hidden="false" customHeight="false" outlineLevel="0" collapsed="false">
      <c r="A710" s="0" t="n">
        <v>144711</v>
      </c>
    </row>
    <row r="711" customFormat="false" ht="15" hidden="false" customHeight="false" outlineLevel="0" collapsed="false">
      <c r="A711" s="0" t="n">
        <v>144738</v>
      </c>
    </row>
    <row r="712" customFormat="false" ht="15" hidden="false" customHeight="false" outlineLevel="0" collapsed="false">
      <c r="A712" s="0" t="n">
        <v>144746</v>
      </c>
    </row>
    <row r="713" customFormat="false" ht="15" hidden="false" customHeight="false" outlineLevel="0" collapsed="false">
      <c r="A713" s="0" t="n">
        <v>144770</v>
      </c>
    </row>
    <row r="714" customFormat="false" ht="15" hidden="false" customHeight="false" outlineLevel="0" collapsed="false">
      <c r="A714" s="0" t="n">
        <v>144789</v>
      </c>
    </row>
    <row r="715" customFormat="false" ht="15" hidden="false" customHeight="false" outlineLevel="0" collapsed="false">
      <c r="A715" s="0" t="n">
        <v>144797</v>
      </c>
    </row>
    <row r="716" customFormat="false" ht="15" hidden="false" customHeight="false" outlineLevel="0" collapsed="false">
      <c r="A716" s="0" t="n">
        <v>144851</v>
      </c>
    </row>
    <row r="717" customFormat="false" ht="15" hidden="false" customHeight="false" outlineLevel="0" collapsed="false">
      <c r="A717" s="0" t="n">
        <v>145696</v>
      </c>
      <c r="B717" s="0" t="s">
        <v>547</v>
      </c>
    </row>
    <row r="718" customFormat="false" ht="15" hidden="false" customHeight="false" outlineLevel="0" collapsed="false">
      <c r="A718" s="0" t="n">
        <v>145718</v>
      </c>
      <c r="B718" s="0" t="s">
        <v>548</v>
      </c>
    </row>
    <row r="719" customFormat="false" ht="15" hidden="false" customHeight="false" outlineLevel="0" collapsed="false">
      <c r="A719" s="0" t="n">
        <v>145726</v>
      </c>
      <c r="B719" s="0" t="s">
        <v>549</v>
      </c>
    </row>
    <row r="720" customFormat="false" ht="15" hidden="false" customHeight="false" outlineLevel="0" collapsed="false">
      <c r="A720" s="0" t="n">
        <v>145734</v>
      </c>
      <c r="B720" s="0" t="s">
        <v>550</v>
      </c>
    </row>
    <row r="721" customFormat="false" ht="15" hidden="false" customHeight="false" outlineLevel="0" collapsed="false">
      <c r="A721" s="0" t="n">
        <v>145742</v>
      </c>
      <c r="B721" s="0" t="s">
        <v>551</v>
      </c>
    </row>
    <row r="722" customFormat="false" ht="15" hidden="false" customHeight="false" outlineLevel="0" collapsed="false">
      <c r="A722" s="0" t="n">
        <v>145750</v>
      </c>
      <c r="B722" s="0" t="s">
        <v>552</v>
      </c>
    </row>
    <row r="723" customFormat="false" ht="15" hidden="false" customHeight="false" outlineLevel="0" collapsed="false">
      <c r="A723" s="0" t="n">
        <v>145769</v>
      </c>
      <c r="B723" s="0" t="s">
        <v>553</v>
      </c>
    </row>
    <row r="724" customFormat="false" ht="15" hidden="false" customHeight="false" outlineLevel="0" collapsed="false">
      <c r="A724" s="0" t="n">
        <v>146013</v>
      </c>
    </row>
    <row r="725" customFormat="false" ht="15" hidden="false" customHeight="false" outlineLevel="0" collapsed="false">
      <c r="A725" s="0" t="n">
        <v>146048</v>
      </c>
    </row>
    <row r="726" customFormat="false" ht="15" hidden="false" customHeight="false" outlineLevel="0" collapsed="false">
      <c r="A726" s="0" t="n">
        <v>146080</v>
      </c>
    </row>
    <row r="727" customFormat="false" ht="15" hidden="false" customHeight="false" outlineLevel="0" collapsed="false">
      <c r="A727" s="0" t="n">
        <v>146099</v>
      </c>
    </row>
    <row r="728" customFormat="false" ht="15" hidden="false" customHeight="false" outlineLevel="0" collapsed="false">
      <c r="A728" s="0" t="n">
        <v>146102</v>
      </c>
    </row>
    <row r="729" customFormat="false" ht="15" hidden="false" customHeight="false" outlineLevel="0" collapsed="false">
      <c r="A729" s="0" t="n">
        <v>146129</v>
      </c>
    </row>
    <row r="730" customFormat="false" ht="15" hidden="false" customHeight="false" outlineLevel="0" collapsed="false">
      <c r="A730" s="0" t="n">
        <v>146145</v>
      </c>
    </row>
    <row r="731" customFormat="false" ht="15" hidden="false" customHeight="false" outlineLevel="0" collapsed="false">
      <c r="A731" s="0" t="n">
        <v>146242</v>
      </c>
    </row>
    <row r="732" customFormat="false" ht="15" hidden="false" customHeight="false" outlineLevel="0" collapsed="false">
      <c r="A732" s="0" t="n">
        <v>146340</v>
      </c>
    </row>
    <row r="733" customFormat="false" ht="15" hidden="false" customHeight="false" outlineLevel="0" collapsed="false">
      <c r="A733" s="0" t="n">
        <v>146404</v>
      </c>
    </row>
    <row r="734" customFormat="false" ht="15" hidden="false" customHeight="false" outlineLevel="0" collapsed="false">
      <c r="A734" s="0" t="n">
        <v>148075</v>
      </c>
      <c r="B734" s="0" t="s">
        <v>554</v>
      </c>
    </row>
    <row r="735" customFormat="false" ht="15" hidden="false" customHeight="false" outlineLevel="0" collapsed="false">
      <c r="A735" s="0" t="n">
        <v>148083</v>
      </c>
    </row>
    <row r="736" customFormat="false" ht="15" hidden="false" customHeight="false" outlineLevel="0" collapsed="false">
      <c r="A736" s="0" t="n">
        <v>148091</v>
      </c>
      <c r="B736" s="0" t="s">
        <v>555</v>
      </c>
    </row>
    <row r="737" customFormat="false" ht="15" hidden="false" customHeight="false" outlineLevel="0" collapsed="false">
      <c r="A737" s="0" t="n">
        <v>148113</v>
      </c>
      <c r="B737" s="0" t="s">
        <v>556</v>
      </c>
    </row>
    <row r="738" customFormat="false" ht="15" hidden="false" customHeight="false" outlineLevel="0" collapsed="false">
      <c r="A738" s="0" t="n">
        <v>148121</v>
      </c>
      <c r="B738" s="0" t="s">
        <v>557</v>
      </c>
    </row>
    <row r="739" customFormat="false" ht="15" hidden="false" customHeight="false" outlineLevel="0" collapsed="false">
      <c r="A739" s="0" t="n">
        <v>148130</v>
      </c>
      <c r="B739" s="0" t="s">
        <v>558</v>
      </c>
    </row>
    <row r="740" customFormat="false" ht="15" hidden="false" customHeight="false" outlineLevel="0" collapsed="false">
      <c r="A740" s="0" t="n">
        <v>153877</v>
      </c>
      <c r="B740" s="0" t="s">
        <v>559</v>
      </c>
    </row>
    <row r="741" customFormat="false" ht="15" hidden="false" customHeight="false" outlineLevel="0" collapsed="false">
      <c r="A741" s="0" t="n">
        <v>153885</v>
      </c>
      <c r="B741" s="0" t="n">
        <v>14071273000131</v>
      </c>
    </row>
    <row r="742" customFormat="false" ht="15" hidden="false" customHeight="false" outlineLevel="0" collapsed="false">
      <c r="A742" s="0" t="n">
        <v>153958</v>
      </c>
      <c r="B742" s="0" t="s">
        <v>560</v>
      </c>
    </row>
    <row r="743" customFormat="false" ht="15" hidden="false" customHeight="false" outlineLevel="0" collapsed="false">
      <c r="A743" s="0" t="n">
        <v>154016</v>
      </c>
      <c r="B743" s="0" t="s">
        <v>561</v>
      </c>
    </row>
    <row r="744" customFormat="false" ht="15" hidden="false" customHeight="false" outlineLevel="0" collapsed="false">
      <c r="A744" s="0" t="n">
        <v>154032</v>
      </c>
      <c r="B744" s="0" t="n">
        <v>2103960000102</v>
      </c>
    </row>
    <row r="745" customFormat="false" ht="15" hidden="false" customHeight="false" outlineLevel="0" collapsed="false">
      <c r="A745" s="0" t="n">
        <v>154040</v>
      </c>
      <c r="B745" s="0" t="s">
        <v>562</v>
      </c>
    </row>
    <row r="746" customFormat="false" ht="15" hidden="false" customHeight="false" outlineLevel="0" collapsed="false">
      <c r="A746" s="0" t="n">
        <v>154059</v>
      </c>
      <c r="B746" s="0" t="s">
        <v>563</v>
      </c>
    </row>
    <row r="747" customFormat="false" ht="15" hidden="false" customHeight="false" outlineLevel="0" collapsed="false">
      <c r="A747" s="0" t="n">
        <v>154156</v>
      </c>
      <c r="B747" s="0" t="s">
        <v>564</v>
      </c>
    </row>
    <row r="748" customFormat="false" ht="15" hidden="false" customHeight="false" outlineLevel="0" collapsed="false">
      <c r="A748" s="0" t="n">
        <v>154164</v>
      </c>
      <c r="B748" s="0" t="s">
        <v>565</v>
      </c>
    </row>
    <row r="749" customFormat="false" ht="15" hidden="false" customHeight="false" outlineLevel="0" collapsed="false">
      <c r="A749" s="0" t="n">
        <v>154172</v>
      </c>
      <c r="B749" s="0" t="s">
        <v>566</v>
      </c>
    </row>
    <row r="750" customFormat="false" ht="15" hidden="false" customHeight="false" outlineLevel="0" collapsed="false">
      <c r="A750" s="0" t="n">
        <v>154180</v>
      </c>
      <c r="B750" s="0" t="s">
        <v>567</v>
      </c>
    </row>
    <row r="751" customFormat="false" ht="15" hidden="false" customHeight="false" outlineLevel="0" collapsed="false">
      <c r="A751" s="0" t="n">
        <v>154695</v>
      </c>
      <c r="B751" s="0" t="s">
        <v>568</v>
      </c>
    </row>
    <row r="752" customFormat="false" ht="15" hidden="false" customHeight="false" outlineLevel="0" collapsed="false">
      <c r="A752" s="0" t="n">
        <v>154709</v>
      </c>
    </row>
    <row r="753" customFormat="false" ht="15" hidden="false" customHeight="false" outlineLevel="0" collapsed="false">
      <c r="A753" s="0" t="n">
        <v>154911</v>
      </c>
      <c r="B753" s="0" t="s">
        <v>569</v>
      </c>
    </row>
    <row r="754" customFormat="false" ht="15" hidden="false" customHeight="false" outlineLevel="0" collapsed="false">
      <c r="A754" s="0" t="n">
        <v>154920</v>
      </c>
      <c r="B754" s="0" t="s">
        <v>570</v>
      </c>
    </row>
    <row r="755" customFormat="false" ht="15" hidden="false" customHeight="false" outlineLevel="0" collapsed="false">
      <c r="A755" s="0" t="n">
        <v>154938</v>
      </c>
      <c r="B755" s="0" t="s">
        <v>571</v>
      </c>
    </row>
    <row r="756" customFormat="false" ht="15" hidden="false" customHeight="false" outlineLevel="0" collapsed="false">
      <c r="A756" s="0" t="n">
        <v>154970</v>
      </c>
      <c r="B756" s="0" t="s">
        <v>572</v>
      </c>
    </row>
    <row r="757" customFormat="false" ht="15" hidden="false" customHeight="false" outlineLevel="0" collapsed="false">
      <c r="A757" s="0" t="n">
        <v>154989</v>
      </c>
      <c r="B757" s="0" t="s">
        <v>573</v>
      </c>
    </row>
    <row r="758" customFormat="false" ht="15" hidden="false" customHeight="false" outlineLevel="0" collapsed="false">
      <c r="A758" s="0" t="n">
        <v>155128</v>
      </c>
      <c r="B758" s="0" t="s">
        <v>574</v>
      </c>
    </row>
    <row r="759" customFormat="false" ht="15" hidden="false" customHeight="false" outlineLevel="0" collapsed="false">
      <c r="A759" s="0" t="n">
        <v>156000</v>
      </c>
      <c r="B759" s="0" t="s">
        <v>575</v>
      </c>
    </row>
    <row r="760" customFormat="false" ht="15" hidden="false" customHeight="false" outlineLevel="0" collapsed="false">
      <c r="A760" s="0" t="n">
        <v>156019</v>
      </c>
      <c r="B760" s="0" t="n">
        <v>11249894000174</v>
      </c>
    </row>
    <row r="761" customFormat="false" ht="15" hidden="false" customHeight="false" outlineLevel="0" collapsed="false">
      <c r="A761" s="0" t="n">
        <v>156027</v>
      </c>
      <c r="B761" s="0" t="n">
        <v>11336777000148</v>
      </c>
    </row>
    <row r="762" customFormat="false" ht="15" hidden="false" customHeight="false" outlineLevel="0" collapsed="false">
      <c r="A762" s="0" t="n">
        <v>156230</v>
      </c>
      <c r="B762" s="0" t="s">
        <v>576</v>
      </c>
    </row>
    <row r="763" customFormat="false" ht="15" hidden="false" customHeight="false" outlineLevel="0" collapsed="false">
      <c r="A763" s="0" t="n">
        <v>156345</v>
      </c>
      <c r="B763" s="0" t="s">
        <v>577</v>
      </c>
    </row>
    <row r="764" customFormat="false" ht="15" hidden="false" customHeight="false" outlineLevel="0" collapsed="false">
      <c r="A764" s="0" t="n">
        <v>156353</v>
      </c>
      <c r="B764" s="0" t="s">
        <v>578</v>
      </c>
    </row>
    <row r="765" customFormat="false" ht="15" hidden="false" customHeight="false" outlineLevel="0" collapsed="false">
      <c r="A765" s="0" t="n">
        <v>156361</v>
      </c>
      <c r="B765" s="0" t="s">
        <v>579</v>
      </c>
    </row>
    <row r="766" customFormat="false" ht="15" hidden="false" customHeight="false" outlineLevel="0" collapsed="false">
      <c r="A766" s="0" t="n">
        <v>156370</v>
      </c>
      <c r="B766" s="0" t="s">
        <v>580</v>
      </c>
    </row>
    <row r="767" customFormat="false" ht="15" hidden="false" customHeight="false" outlineLevel="0" collapsed="false">
      <c r="A767" s="0" t="n">
        <v>156388</v>
      </c>
      <c r="B767" s="0" t="s">
        <v>581</v>
      </c>
    </row>
    <row r="768" customFormat="false" ht="15" hidden="false" customHeight="false" outlineLevel="0" collapsed="false">
      <c r="A768" s="0" t="n">
        <v>156396</v>
      </c>
      <c r="B768" s="0" t="s">
        <v>582</v>
      </c>
    </row>
    <row r="769" customFormat="false" ht="15" hidden="false" customHeight="false" outlineLevel="0" collapsed="false">
      <c r="A769" s="0" t="n">
        <v>156418</v>
      </c>
      <c r="B769" s="0" t="s">
        <v>583</v>
      </c>
    </row>
    <row r="770" customFormat="false" ht="15" hidden="false" customHeight="false" outlineLevel="0" collapsed="false">
      <c r="A770" s="0" t="n">
        <v>156426</v>
      </c>
      <c r="B770" s="0" t="s">
        <v>584</v>
      </c>
    </row>
    <row r="771" customFormat="false" ht="15" hidden="false" customHeight="false" outlineLevel="0" collapsed="false">
      <c r="A771" s="0" t="n">
        <v>156434</v>
      </c>
      <c r="B771" s="0" t="s">
        <v>585</v>
      </c>
    </row>
    <row r="772" customFormat="false" ht="15" hidden="false" customHeight="false" outlineLevel="0" collapsed="false">
      <c r="A772" s="0" t="n">
        <v>157236</v>
      </c>
      <c r="B772" s="0" t="s">
        <v>586</v>
      </c>
    </row>
    <row r="773" customFormat="false" ht="15" hidden="false" customHeight="false" outlineLevel="0" collapsed="false">
      <c r="A773" s="0" t="n">
        <v>157244</v>
      </c>
      <c r="B773" s="0" t="s">
        <v>587</v>
      </c>
    </row>
    <row r="774" customFormat="false" ht="15" hidden="false" customHeight="false" outlineLevel="0" collapsed="false">
      <c r="A774" s="0" t="n">
        <v>157252</v>
      </c>
      <c r="B774" s="0" t="s">
        <v>588</v>
      </c>
    </row>
    <row r="775" customFormat="false" ht="15" hidden="false" customHeight="false" outlineLevel="0" collapsed="false">
      <c r="A775" s="0" t="n">
        <v>157260</v>
      </c>
      <c r="B775" s="0" t="s">
        <v>589</v>
      </c>
    </row>
    <row r="776" customFormat="false" ht="15" hidden="false" customHeight="false" outlineLevel="0" collapsed="false">
      <c r="A776" s="0" t="n">
        <v>158313</v>
      </c>
      <c r="B776" s="0" t="s">
        <v>590</v>
      </c>
    </row>
    <row r="777" customFormat="false" ht="15" hidden="false" customHeight="false" outlineLevel="0" collapsed="false">
      <c r="A777" s="0" t="n">
        <v>158321</v>
      </c>
      <c r="B777" s="0" t="n">
        <v>11911780000148</v>
      </c>
    </row>
    <row r="778" customFormat="false" ht="15" hidden="false" customHeight="false" outlineLevel="0" collapsed="false">
      <c r="A778" s="0" t="n">
        <v>158330</v>
      </c>
      <c r="B778" s="0" t="s">
        <v>591</v>
      </c>
    </row>
    <row r="779" customFormat="false" ht="15" hidden="false" customHeight="false" outlineLevel="0" collapsed="false">
      <c r="A779" s="0" t="n">
        <v>158348</v>
      </c>
      <c r="B779" s="0" t="s">
        <v>592</v>
      </c>
    </row>
    <row r="780" customFormat="false" ht="15" hidden="false" customHeight="false" outlineLevel="0" collapsed="false">
      <c r="A780" s="0" t="n">
        <v>158356</v>
      </c>
      <c r="B780" s="0" t="s">
        <v>593</v>
      </c>
    </row>
    <row r="781" customFormat="false" ht="15" hidden="false" customHeight="false" outlineLevel="0" collapsed="false">
      <c r="A781" s="0" t="n">
        <v>158364</v>
      </c>
      <c r="B781" s="0" t="s">
        <v>594</v>
      </c>
    </row>
    <row r="782" customFormat="false" ht="15" hidden="false" customHeight="false" outlineLevel="0" collapsed="false">
      <c r="A782" s="0" t="n">
        <v>158372</v>
      </c>
      <c r="B782" s="0" t="s">
        <v>595</v>
      </c>
    </row>
    <row r="783" customFormat="false" ht="15" hidden="false" customHeight="false" outlineLevel="0" collapsed="false">
      <c r="A783" s="0" t="n">
        <v>158380</v>
      </c>
      <c r="B783" s="0" t="s">
        <v>596</v>
      </c>
    </row>
    <row r="784" customFormat="false" ht="15" hidden="false" customHeight="false" outlineLevel="0" collapsed="false">
      <c r="A784" s="0" t="n">
        <v>158399</v>
      </c>
      <c r="B784" s="0" t="s">
        <v>597</v>
      </c>
    </row>
    <row r="785" customFormat="false" ht="15" hidden="false" customHeight="false" outlineLevel="0" collapsed="false">
      <c r="A785" s="0" t="n">
        <v>158615</v>
      </c>
      <c r="B785" s="0" t="s">
        <v>598</v>
      </c>
    </row>
    <row r="786" customFormat="false" ht="15" hidden="false" customHeight="false" outlineLevel="0" collapsed="false">
      <c r="A786" s="0" t="n">
        <v>158623</v>
      </c>
      <c r="B786" s="0" t="s">
        <v>599</v>
      </c>
    </row>
    <row r="787" customFormat="false" ht="15" hidden="false" customHeight="false" outlineLevel="0" collapsed="false">
      <c r="A787" s="0" t="n">
        <v>158658</v>
      </c>
      <c r="B787" s="0" t="s">
        <v>600</v>
      </c>
    </row>
    <row r="788" customFormat="false" ht="15" hidden="false" customHeight="false" outlineLevel="0" collapsed="false">
      <c r="A788" s="0" t="n">
        <v>158810</v>
      </c>
      <c r="B788" s="0" t="s">
        <v>601</v>
      </c>
    </row>
    <row r="789" customFormat="false" ht="15" hidden="false" customHeight="false" outlineLevel="0" collapsed="false">
      <c r="A789" s="0" t="n">
        <v>158828</v>
      </c>
      <c r="B789" s="0" t="s">
        <v>602</v>
      </c>
    </row>
    <row r="790" customFormat="false" ht="15" hidden="false" customHeight="false" outlineLevel="0" collapsed="false">
      <c r="A790" s="0" t="n">
        <v>158836</v>
      </c>
      <c r="B790" s="0" t="s">
        <v>603</v>
      </c>
    </row>
    <row r="791" customFormat="false" ht="15" hidden="false" customHeight="false" outlineLevel="0" collapsed="false">
      <c r="A791" s="0" t="n">
        <v>158844</v>
      </c>
      <c r="B791" s="0" t="s">
        <v>604</v>
      </c>
    </row>
    <row r="792" customFormat="false" ht="15" hidden="false" customHeight="false" outlineLevel="0" collapsed="false">
      <c r="A792" s="0" t="n">
        <v>159697</v>
      </c>
      <c r="B792" s="0" t="s">
        <v>605</v>
      </c>
    </row>
    <row r="793" customFormat="false" ht="15" hidden="false" customHeight="false" outlineLevel="0" collapsed="false">
      <c r="A793" s="0" t="n">
        <v>159700</v>
      </c>
      <c r="B793" s="0" t="s">
        <v>606</v>
      </c>
    </row>
    <row r="794" customFormat="false" ht="15" hidden="false" customHeight="false" outlineLevel="0" collapsed="false">
      <c r="A794" s="0" t="n">
        <v>159719</v>
      </c>
    </row>
    <row r="795" customFormat="false" ht="15" hidden="false" customHeight="false" outlineLevel="0" collapsed="false">
      <c r="A795" s="0" t="n">
        <v>159743</v>
      </c>
    </row>
    <row r="796" customFormat="false" ht="15" hidden="false" customHeight="false" outlineLevel="0" collapsed="false">
      <c r="A796" s="0" t="n">
        <v>159751</v>
      </c>
    </row>
    <row r="797" customFormat="false" ht="15" hidden="false" customHeight="false" outlineLevel="0" collapsed="false">
      <c r="A797" s="0" t="n">
        <v>159760</v>
      </c>
    </row>
    <row r="798" customFormat="false" ht="15" hidden="false" customHeight="false" outlineLevel="0" collapsed="false">
      <c r="A798" s="0" t="n">
        <v>159786</v>
      </c>
    </row>
    <row r="799" customFormat="false" ht="15" hidden="false" customHeight="false" outlineLevel="0" collapsed="false">
      <c r="A799" s="0" t="n">
        <v>159794</v>
      </c>
    </row>
    <row r="800" customFormat="false" ht="15" hidden="false" customHeight="false" outlineLevel="0" collapsed="false">
      <c r="A800" s="0" t="n">
        <v>159840</v>
      </c>
    </row>
    <row r="801" customFormat="false" ht="15" hidden="false" customHeight="false" outlineLevel="0" collapsed="false">
      <c r="A801" s="0" t="n">
        <v>159891</v>
      </c>
    </row>
    <row r="802" customFormat="false" ht="15" hidden="false" customHeight="false" outlineLevel="0" collapsed="false">
      <c r="A802" s="0" t="n">
        <v>159956</v>
      </c>
    </row>
    <row r="803" customFormat="false" ht="15" hidden="false" customHeight="false" outlineLevel="0" collapsed="false">
      <c r="A803" s="0" t="n">
        <v>159964</v>
      </c>
    </row>
    <row r="804" customFormat="false" ht="15" hidden="false" customHeight="false" outlineLevel="0" collapsed="false">
      <c r="A804" s="0" t="n">
        <v>159980</v>
      </c>
    </row>
    <row r="805" customFormat="false" ht="15" hidden="false" customHeight="false" outlineLevel="0" collapsed="false">
      <c r="A805" s="0" t="n">
        <v>159999</v>
      </c>
    </row>
    <row r="806" customFormat="false" ht="15" hidden="false" customHeight="false" outlineLevel="0" collapsed="false">
      <c r="A806" s="0" t="n">
        <v>160016</v>
      </c>
    </row>
    <row r="807" customFormat="false" ht="15" hidden="false" customHeight="false" outlineLevel="0" collapsed="false">
      <c r="A807" s="0" t="n">
        <v>160040</v>
      </c>
      <c r="B807" s="0" t="s">
        <v>607</v>
      </c>
    </row>
    <row r="808" customFormat="false" ht="15" hidden="false" customHeight="false" outlineLevel="0" collapsed="false">
      <c r="A808" s="0" t="n">
        <v>160059</v>
      </c>
      <c r="B808" s="0" t="n">
        <v>6114782000176</v>
      </c>
    </row>
    <row r="809" customFormat="false" ht="15" hidden="false" customHeight="false" outlineLevel="0" collapsed="false">
      <c r="A809" s="0" t="n">
        <v>163554</v>
      </c>
      <c r="B809" s="0" t="s">
        <v>608</v>
      </c>
    </row>
    <row r="810" customFormat="false" ht="15" hidden="false" customHeight="false" outlineLevel="0" collapsed="false">
      <c r="A810" s="0" t="n">
        <v>163643</v>
      </c>
      <c r="B810" s="0" t="s">
        <v>609</v>
      </c>
    </row>
    <row r="811" customFormat="false" ht="15" hidden="false" customHeight="false" outlineLevel="0" collapsed="false">
      <c r="A811" s="0" t="n">
        <v>163651</v>
      </c>
      <c r="B811" s="0" t="s">
        <v>610</v>
      </c>
    </row>
    <row r="812" customFormat="false" ht="15" hidden="false" customHeight="false" outlineLevel="0" collapsed="false">
      <c r="A812" s="0" t="n">
        <v>163660</v>
      </c>
      <c r="B812" s="0" t="s">
        <v>611</v>
      </c>
    </row>
    <row r="813" customFormat="false" ht="15" hidden="false" customHeight="false" outlineLevel="0" collapsed="false">
      <c r="A813" s="0" t="n">
        <v>163678</v>
      </c>
      <c r="B813" s="0" t="s">
        <v>612</v>
      </c>
    </row>
    <row r="814" customFormat="false" ht="15" hidden="false" customHeight="false" outlineLevel="0" collapsed="false">
      <c r="A814" s="0" t="n">
        <v>163694</v>
      </c>
      <c r="B814" s="0" t="n">
        <v>11972663000194</v>
      </c>
    </row>
    <row r="815" customFormat="false" ht="15" hidden="false" customHeight="false" outlineLevel="0" collapsed="false">
      <c r="A815" s="0" t="n">
        <v>166294</v>
      </c>
      <c r="B815" s="0" t="s">
        <v>613</v>
      </c>
    </row>
    <row r="816" customFormat="false" ht="15" hidden="false" customHeight="false" outlineLevel="0" collapsed="false">
      <c r="A816" s="0" t="n">
        <v>166308</v>
      </c>
      <c r="B816" s="0" t="s">
        <v>614</v>
      </c>
    </row>
    <row r="817" customFormat="false" ht="15" hidden="false" customHeight="false" outlineLevel="0" collapsed="false">
      <c r="A817" s="0" t="n">
        <v>172081</v>
      </c>
      <c r="B817" s="0" t="s">
        <v>615</v>
      </c>
    </row>
    <row r="818" customFormat="false" ht="15" hidden="false" customHeight="false" outlineLevel="0" collapsed="false">
      <c r="A818" s="0" t="n">
        <v>172456</v>
      </c>
      <c r="B818" s="0" t="s">
        <v>616</v>
      </c>
    </row>
    <row r="819" customFormat="false" ht="15" hidden="false" customHeight="false" outlineLevel="0" collapsed="false">
      <c r="A819" s="0" t="n">
        <v>172642</v>
      </c>
      <c r="B819" s="0" t="s">
        <v>617</v>
      </c>
    </row>
    <row r="820" customFormat="false" ht="15" hidden="false" customHeight="false" outlineLevel="0" collapsed="false">
      <c r="A820" s="0" t="n">
        <v>173282</v>
      </c>
      <c r="B820" s="0" t="s">
        <v>618</v>
      </c>
    </row>
    <row r="821" customFormat="false" ht="15" hidden="false" customHeight="false" outlineLevel="0" collapsed="false">
      <c r="A821" s="0" t="n">
        <v>173347</v>
      </c>
      <c r="B821" s="0" t="s">
        <v>619</v>
      </c>
    </row>
    <row r="822" customFormat="false" ht="15" hidden="false" customHeight="false" outlineLevel="0" collapsed="false">
      <c r="A822" s="0" t="n">
        <v>173355</v>
      </c>
      <c r="B822" s="0" t="s">
        <v>620</v>
      </c>
    </row>
    <row r="823" customFormat="false" ht="15" hidden="false" customHeight="false" outlineLevel="0" collapsed="false">
      <c r="A823" s="0" t="n">
        <v>173363</v>
      </c>
      <c r="B823" s="0" t="s">
        <v>621</v>
      </c>
    </row>
    <row r="824" customFormat="false" ht="15" hidden="false" customHeight="false" outlineLevel="0" collapsed="false">
      <c r="A824" s="0" t="n">
        <v>173371</v>
      </c>
      <c r="B824" s="0" t="s">
        <v>622</v>
      </c>
    </row>
    <row r="825" customFormat="false" ht="15" hidden="false" customHeight="false" outlineLevel="0" collapsed="false">
      <c r="A825" s="0" t="n">
        <v>173509</v>
      </c>
      <c r="B825" s="0" t="s">
        <v>623</v>
      </c>
    </row>
    <row r="826" customFormat="false" ht="15" hidden="false" customHeight="false" outlineLevel="0" collapsed="false">
      <c r="A826" s="0" t="n">
        <v>173525</v>
      </c>
      <c r="B826" s="0" t="s">
        <v>624</v>
      </c>
    </row>
    <row r="827" customFormat="false" ht="15" hidden="false" customHeight="false" outlineLevel="0" collapsed="false">
      <c r="A827" s="0" t="n">
        <v>173541</v>
      </c>
      <c r="B827" s="0" t="s">
        <v>625</v>
      </c>
    </row>
    <row r="828" customFormat="false" ht="15" hidden="false" customHeight="false" outlineLevel="0" collapsed="false">
      <c r="A828" s="0" t="n">
        <v>173550</v>
      </c>
      <c r="B828" s="0" t="s">
        <v>626</v>
      </c>
    </row>
    <row r="829" customFormat="false" ht="15" hidden="false" customHeight="false" outlineLevel="0" collapsed="false">
      <c r="A829" s="0" t="n">
        <v>173568</v>
      </c>
      <c r="B829" s="0" t="s">
        <v>627</v>
      </c>
    </row>
    <row r="830" customFormat="false" ht="15" hidden="false" customHeight="false" outlineLevel="0" collapsed="false">
      <c r="A830" s="0" t="n">
        <v>173576</v>
      </c>
      <c r="B830" s="0" t="s">
        <v>628</v>
      </c>
    </row>
    <row r="831" customFormat="false" ht="15" hidden="false" customHeight="false" outlineLevel="0" collapsed="false">
      <c r="A831" s="0" t="n">
        <v>173584</v>
      </c>
      <c r="B831" s="0" t="s">
        <v>629</v>
      </c>
    </row>
    <row r="832" customFormat="false" ht="15" hidden="false" customHeight="false" outlineLevel="0" collapsed="false">
      <c r="A832" s="0" t="n">
        <v>173649</v>
      </c>
      <c r="B832" s="0" t="s">
        <v>630</v>
      </c>
    </row>
    <row r="833" customFormat="false" ht="15" hidden="false" customHeight="false" outlineLevel="0" collapsed="false">
      <c r="A833" s="0" t="n">
        <v>173762</v>
      </c>
      <c r="B833" s="0" t="s">
        <v>631</v>
      </c>
    </row>
    <row r="834" customFormat="false" ht="15" hidden="false" customHeight="false" outlineLevel="0" collapsed="false">
      <c r="A834" s="0" t="n">
        <v>173770</v>
      </c>
      <c r="B834" s="0" t="s">
        <v>632</v>
      </c>
    </row>
    <row r="835" customFormat="false" ht="15" hidden="false" customHeight="false" outlineLevel="0" collapsed="false">
      <c r="A835" s="0" t="n">
        <v>174122</v>
      </c>
      <c r="B835" s="0" t="s">
        <v>633</v>
      </c>
    </row>
    <row r="836" customFormat="false" ht="15" hidden="false" customHeight="false" outlineLevel="0" collapsed="false">
      <c r="A836" s="0" t="n">
        <v>176427</v>
      </c>
      <c r="B836" s="0" t="s">
        <v>634</v>
      </c>
    </row>
    <row r="837" customFormat="false" ht="15" hidden="false" customHeight="false" outlineLevel="0" collapsed="false">
      <c r="A837" s="0" t="n">
        <v>176451</v>
      </c>
      <c r="B837" s="0" t="s">
        <v>635</v>
      </c>
    </row>
    <row r="838" customFormat="false" ht="15" hidden="false" customHeight="false" outlineLevel="0" collapsed="false">
      <c r="A838" s="0" t="n">
        <v>176460</v>
      </c>
      <c r="B838" s="0" t="s">
        <v>636</v>
      </c>
    </row>
    <row r="839" customFormat="false" ht="15" hidden="false" customHeight="false" outlineLevel="0" collapsed="false">
      <c r="A839" s="0" t="n">
        <v>176648</v>
      </c>
      <c r="B839" s="0" t="s">
        <v>637</v>
      </c>
    </row>
    <row r="840" customFormat="false" ht="15" hidden="false" customHeight="false" outlineLevel="0" collapsed="false">
      <c r="A840" s="0" t="n">
        <v>176664</v>
      </c>
      <c r="B840" s="0" t="s">
        <v>638</v>
      </c>
    </row>
    <row r="841" customFormat="false" ht="15" hidden="false" customHeight="false" outlineLevel="0" collapsed="false">
      <c r="A841" s="0" t="n">
        <v>176761</v>
      </c>
    </row>
    <row r="842" customFormat="false" ht="15" hidden="false" customHeight="false" outlineLevel="0" collapsed="false">
      <c r="A842" s="0" t="n">
        <v>176770</v>
      </c>
      <c r="B842" s="0" t="s">
        <v>639</v>
      </c>
    </row>
    <row r="843" customFormat="false" ht="15" hidden="false" customHeight="false" outlineLevel="0" collapsed="false">
      <c r="A843" s="0" t="n">
        <v>176800</v>
      </c>
      <c r="B843" s="0" t="s">
        <v>640</v>
      </c>
    </row>
    <row r="844" customFormat="false" ht="15" hidden="false" customHeight="false" outlineLevel="0" collapsed="false">
      <c r="A844" s="0" t="n">
        <v>179760</v>
      </c>
    </row>
    <row r="845" customFormat="false" ht="15" hidden="false" customHeight="false" outlineLevel="0" collapsed="false">
      <c r="A845" s="0" t="n">
        <v>179779</v>
      </c>
    </row>
    <row r="846" customFormat="false" ht="15" hidden="false" customHeight="false" outlineLevel="0" collapsed="false">
      <c r="A846" s="0" t="n">
        <v>179787</v>
      </c>
    </row>
    <row r="847" customFormat="false" ht="15" hidden="false" customHeight="false" outlineLevel="0" collapsed="false">
      <c r="A847" s="0" t="n">
        <v>179795</v>
      </c>
    </row>
    <row r="848" customFormat="false" ht="15" hidden="false" customHeight="false" outlineLevel="0" collapsed="false">
      <c r="A848" s="0" t="n">
        <v>179817</v>
      </c>
    </row>
    <row r="849" customFormat="false" ht="15" hidden="false" customHeight="false" outlineLevel="0" collapsed="false">
      <c r="A849" s="0" t="n">
        <v>179833</v>
      </c>
    </row>
    <row r="850" customFormat="false" ht="15" hidden="false" customHeight="false" outlineLevel="0" collapsed="false">
      <c r="A850" s="0" t="n">
        <v>179841</v>
      </c>
    </row>
    <row r="851" customFormat="false" ht="15" hidden="false" customHeight="false" outlineLevel="0" collapsed="false">
      <c r="A851" s="0" t="n">
        <v>179906</v>
      </c>
    </row>
    <row r="852" customFormat="false" ht="15" hidden="false" customHeight="false" outlineLevel="0" collapsed="false">
      <c r="A852" s="0" t="n">
        <v>179914</v>
      </c>
    </row>
    <row r="853" customFormat="false" ht="15" hidden="false" customHeight="false" outlineLevel="0" collapsed="false">
      <c r="A853" s="0" t="n">
        <v>179922</v>
      </c>
    </row>
    <row r="854" customFormat="false" ht="15" hidden="false" customHeight="false" outlineLevel="0" collapsed="false">
      <c r="A854" s="0" t="n">
        <v>179957</v>
      </c>
    </row>
    <row r="855" customFormat="false" ht="15" hidden="false" customHeight="false" outlineLevel="0" collapsed="false">
      <c r="A855" s="0" t="n">
        <v>179965</v>
      </c>
    </row>
    <row r="856" customFormat="false" ht="15" hidden="false" customHeight="false" outlineLevel="0" collapsed="false">
      <c r="A856" s="0" t="n">
        <v>179981</v>
      </c>
    </row>
    <row r="857" customFormat="false" ht="15" hidden="false" customHeight="false" outlineLevel="0" collapsed="false">
      <c r="A857" s="0" t="n">
        <v>180009</v>
      </c>
    </row>
    <row r="858" customFormat="false" ht="15" hidden="false" customHeight="false" outlineLevel="0" collapsed="false">
      <c r="A858" s="0" t="n">
        <v>180025</v>
      </c>
    </row>
    <row r="859" customFormat="false" ht="15" hidden="false" customHeight="false" outlineLevel="0" collapsed="false">
      <c r="A859" s="0" t="n">
        <v>180033</v>
      </c>
    </row>
    <row r="860" customFormat="false" ht="15" hidden="false" customHeight="false" outlineLevel="0" collapsed="false">
      <c r="A860" s="0" t="n">
        <v>180068</v>
      </c>
    </row>
    <row r="861" customFormat="false" ht="15" hidden="false" customHeight="false" outlineLevel="0" collapsed="false">
      <c r="A861" s="0" t="n">
        <v>180076</v>
      </c>
    </row>
    <row r="862" customFormat="false" ht="15" hidden="false" customHeight="false" outlineLevel="0" collapsed="false">
      <c r="A862" s="0" t="n">
        <v>180084</v>
      </c>
    </row>
    <row r="863" customFormat="false" ht="15" hidden="false" customHeight="false" outlineLevel="0" collapsed="false">
      <c r="A863" s="0" t="n">
        <v>180114</v>
      </c>
    </row>
    <row r="864" customFormat="false" ht="15" hidden="false" customHeight="false" outlineLevel="0" collapsed="false">
      <c r="A864" s="0" t="n">
        <v>180149</v>
      </c>
    </row>
    <row r="865" customFormat="false" ht="15" hidden="false" customHeight="false" outlineLevel="0" collapsed="false">
      <c r="A865" s="0" t="n">
        <v>180165</v>
      </c>
    </row>
    <row r="866" customFormat="false" ht="15" hidden="false" customHeight="false" outlineLevel="0" collapsed="false">
      <c r="A866" s="0" t="n">
        <v>180173</v>
      </c>
    </row>
    <row r="867" customFormat="false" ht="15" hidden="false" customHeight="false" outlineLevel="0" collapsed="false">
      <c r="A867" s="0" t="n">
        <v>183636</v>
      </c>
      <c r="B867" s="0" t="s">
        <v>641</v>
      </c>
    </row>
    <row r="868" customFormat="false" ht="15" hidden="false" customHeight="false" outlineLevel="0" collapsed="false">
      <c r="A868" s="0" t="n">
        <v>183652</v>
      </c>
      <c r="B868" s="0" t="s">
        <v>642</v>
      </c>
    </row>
    <row r="869" customFormat="false" ht="15" hidden="false" customHeight="false" outlineLevel="0" collapsed="false">
      <c r="A869" s="0" t="n">
        <v>184152</v>
      </c>
      <c r="B869" s="0" t="s">
        <v>643</v>
      </c>
    </row>
    <row r="870" customFormat="false" ht="15" hidden="false" customHeight="false" outlineLevel="0" collapsed="false">
      <c r="A870" s="0" t="n">
        <v>184390</v>
      </c>
      <c r="B870" s="0" t="s">
        <v>644</v>
      </c>
    </row>
    <row r="871" customFormat="false" ht="15" hidden="false" customHeight="false" outlineLevel="0" collapsed="false">
      <c r="A871" s="0" t="n">
        <v>184403</v>
      </c>
      <c r="B871" s="0" t="s">
        <v>645</v>
      </c>
    </row>
    <row r="872" customFormat="false" ht="15" hidden="false" customHeight="false" outlineLevel="0" collapsed="false">
      <c r="A872" s="0" t="n">
        <v>184586</v>
      </c>
      <c r="B872" s="0" t="s">
        <v>646</v>
      </c>
    </row>
    <row r="873" customFormat="false" ht="15" hidden="false" customHeight="false" outlineLevel="0" collapsed="false">
      <c r="A873" s="0" t="n">
        <v>184594</v>
      </c>
      <c r="B873" s="0" t="n">
        <v>22530156000117</v>
      </c>
    </row>
    <row r="874" customFormat="false" ht="15" hidden="false" customHeight="false" outlineLevel="0" collapsed="false">
      <c r="A874" s="0" t="n">
        <v>191396</v>
      </c>
    </row>
    <row r="875" customFormat="false" ht="15" hidden="false" customHeight="false" outlineLevel="0" collapsed="false">
      <c r="A875" s="0" t="n">
        <v>191400</v>
      </c>
    </row>
    <row r="876" customFormat="false" ht="15" hidden="false" customHeight="false" outlineLevel="0" collapsed="false">
      <c r="A876" s="0" t="n">
        <v>191418</v>
      </c>
    </row>
    <row r="877" customFormat="false" ht="15" hidden="false" customHeight="false" outlineLevel="0" collapsed="false">
      <c r="A877" s="0" t="n">
        <v>191434</v>
      </c>
    </row>
    <row r="878" customFormat="false" ht="15" hidden="false" customHeight="false" outlineLevel="0" collapsed="false">
      <c r="A878" s="0" t="n">
        <v>191442</v>
      </c>
    </row>
    <row r="879" customFormat="false" ht="15" hidden="false" customHeight="false" outlineLevel="0" collapsed="false">
      <c r="A879" s="0" t="n">
        <v>191450</v>
      </c>
    </row>
    <row r="880" customFormat="false" ht="15" hidden="false" customHeight="false" outlineLevel="0" collapsed="false">
      <c r="A880" s="0" t="n">
        <v>191477</v>
      </c>
    </row>
    <row r="881" customFormat="false" ht="15" hidden="false" customHeight="false" outlineLevel="0" collapsed="false">
      <c r="A881" s="0" t="n">
        <v>191493</v>
      </c>
    </row>
    <row r="882" customFormat="false" ht="15" hidden="false" customHeight="false" outlineLevel="0" collapsed="false">
      <c r="A882" s="0" t="n">
        <v>191515</v>
      </c>
    </row>
    <row r="883" customFormat="false" ht="15" hidden="false" customHeight="false" outlineLevel="0" collapsed="false">
      <c r="A883" s="0" t="n">
        <v>191841</v>
      </c>
      <c r="B883" s="0" t="s">
        <v>647</v>
      </c>
    </row>
    <row r="884" customFormat="false" ht="15" hidden="false" customHeight="false" outlineLevel="0" collapsed="false">
      <c r="A884" s="0" t="n">
        <v>192031</v>
      </c>
      <c r="B884" s="0" t="s">
        <v>648</v>
      </c>
    </row>
    <row r="885" customFormat="false" ht="15" hidden="false" customHeight="false" outlineLevel="0" collapsed="false">
      <c r="A885" s="0" t="n">
        <v>192040</v>
      </c>
      <c r="B885" s="0" t="s">
        <v>649</v>
      </c>
    </row>
    <row r="886" customFormat="false" ht="15" hidden="false" customHeight="false" outlineLevel="0" collapsed="false">
      <c r="A886" s="0" t="n">
        <v>192058</v>
      </c>
      <c r="B886" s="0" t="s">
        <v>650</v>
      </c>
    </row>
    <row r="887" customFormat="false" ht="15" hidden="false" customHeight="false" outlineLevel="0" collapsed="false">
      <c r="A887" s="0" t="n">
        <v>192112</v>
      </c>
      <c r="B887" s="0" t="s">
        <v>651</v>
      </c>
    </row>
    <row r="888" customFormat="false" ht="15" hidden="false" customHeight="false" outlineLevel="0" collapsed="false">
      <c r="A888" s="0" t="n">
        <v>192139</v>
      </c>
      <c r="B888" s="0" t="s">
        <v>652</v>
      </c>
    </row>
    <row r="889" customFormat="false" ht="15" hidden="false" customHeight="false" outlineLevel="0" collapsed="false">
      <c r="A889" s="0" t="n">
        <v>192147</v>
      </c>
      <c r="B889" s="0" t="s">
        <v>653</v>
      </c>
    </row>
    <row r="890" customFormat="false" ht="15" hidden="false" customHeight="false" outlineLevel="0" collapsed="false">
      <c r="A890" s="0" t="n">
        <v>192155</v>
      </c>
      <c r="B890" s="0" t="n">
        <v>25148786000110</v>
      </c>
    </row>
    <row r="891" customFormat="false" ht="15" hidden="false" customHeight="false" outlineLevel="0" collapsed="false">
      <c r="A891" s="0" t="n">
        <v>192163</v>
      </c>
      <c r="B891" s="0" t="s">
        <v>654</v>
      </c>
    </row>
    <row r="892" customFormat="false" ht="15" hidden="false" customHeight="false" outlineLevel="0" collapsed="false">
      <c r="A892" s="0" t="n">
        <v>192210</v>
      </c>
      <c r="B892" s="0" t="s">
        <v>655</v>
      </c>
    </row>
    <row r="893" customFormat="false" ht="15" hidden="false" customHeight="false" outlineLevel="0" collapsed="false">
      <c r="A893" s="0" t="n">
        <v>192228</v>
      </c>
      <c r="B893" s="0" t="s">
        <v>656</v>
      </c>
    </row>
    <row r="894" customFormat="false" ht="15" hidden="false" customHeight="false" outlineLevel="0" collapsed="false">
      <c r="A894" s="0" t="n">
        <v>192643</v>
      </c>
      <c r="B894" s="0" t="s">
        <v>657</v>
      </c>
    </row>
    <row r="895" customFormat="false" ht="15" hidden="false" customHeight="false" outlineLevel="0" collapsed="false">
      <c r="A895" s="0" t="n">
        <v>193062</v>
      </c>
    </row>
    <row r="896" customFormat="false" ht="15" hidden="false" customHeight="false" outlineLevel="0" collapsed="false">
      <c r="A896" s="0" t="n">
        <v>193070</v>
      </c>
    </row>
    <row r="897" customFormat="false" ht="15" hidden="false" customHeight="false" outlineLevel="0" collapsed="false">
      <c r="A897" s="0" t="n">
        <v>193100</v>
      </c>
    </row>
    <row r="898" customFormat="false" ht="15" hidden="false" customHeight="false" outlineLevel="0" collapsed="false">
      <c r="A898" s="0" t="n">
        <v>193119</v>
      </c>
    </row>
    <row r="899" customFormat="false" ht="15" hidden="false" customHeight="false" outlineLevel="0" collapsed="false">
      <c r="A899" s="0" t="n">
        <v>193127</v>
      </c>
    </row>
    <row r="900" customFormat="false" ht="15" hidden="false" customHeight="false" outlineLevel="0" collapsed="false">
      <c r="A900" s="0" t="n">
        <v>193143</v>
      </c>
    </row>
    <row r="901" customFormat="false" ht="15" hidden="false" customHeight="false" outlineLevel="0" collapsed="false">
      <c r="A901" s="0" t="n">
        <v>193151</v>
      </c>
    </row>
    <row r="902" customFormat="false" ht="15" hidden="false" customHeight="false" outlineLevel="0" collapsed="false">
      <c r="A902" s="0" t="n">
        <v>193178</v>
      </c>
    </row>
    <row r="903" customFormat="false" ht="15" hidden="false" customHeight="false" outlineLevel="0" collapsed="false">
      <c r="A903" s="0" t="n">
        <v>193216</v>
      </c>
    </row>
    <row r="904" customFormat="false" ht="15" hidden="false" customHeight="false" outlineLevel="0" collapsed="false">
      <c r="A904" s="0" t="n">
        <v>193224</v>
      </c>
    </row>
    <row r="905" customFormat="false" ht="15" hidden="false" customHeight="false" outlineLevel="0" collapsed="false">
      <c r="A905" s="0" t="n">
        <v>193232</v>
      </c>
    </row>
    <row r="906" customFormat="false" ht="15" hidden="false" customHeight="false" outlineLevel="0" collapsed="false">
      <c r="A906" s="0" t="n">
        <v>193259</v>
      </c>
    </row>
    <row r="907" customFormat="false" ht="15" hidden="false" customHeight="false" outlineLevel="0" collapsed="false">
      <c r="A907" s="0" t="n">
        <v>193267</v>
      </c>
    </row>
    <row r="908" customFormat="false" ht="15" hidden="false" customHeight="false" outlineLevel="0" collapsed="false">
      <c r="A908" s="0" t="n">
        <v>193305</v>
      </c>
    </row>
    <row r="909" customFormat="false" ht="15" hidden="false" customHeight="false" outlineLevel="0" collapsed="false">
      <c r="A909" s="0" t="n">
        <v>193330</v>
      </c>
    </row>
    <row r="910" customFormat="false" ht="15" hidden="false" customHeight="false" outlineLevel="0" collapsed="false">
      <c r="A910" s="0" t="n">
        <v>193364</v>
      </c>
    </row>
    <row r="911" customFormat="false" ht="15" hidden="false" customHeight="false" outlineLevel="0" collapsed="false">
      <c r="A911" s="0" t="n">
        <v>193380</v>
      </c>
    </row>
    <row r="912" customFormat="false" ht="15" hidden="false" customHeight="false" outlineLevel="0" collapsed="false">
      <c r="A912" s="0" t="n">
        <v>194042</v>
      </c>
    </row>
    <row r="913" customFormat="false" ht="15" hidden="false" customHeight="false" outlineLevel="0" collapsed="false">
      <c r="A913" s="0" t="n">
        <v>194069</v>
      </c>
    </row>
    <row r="914" customFormat="false" ht="15" hidden="false" customHeight="false" outlineLevel="0" collapsed="false">
      <c r="A914" s="0" t="n">
        <v>194077</v>
      </c>
    </row>
    <row r="915" customFormat="false" ht="15" hidden="false" customHeight="false" outlineLevel="0" collapsed="false">
      <c r="A915" s="0" t="n">
        <v>194085</v>
      </c>
    </row>
    <row r="916" customFormat="false" ht="15" hidden="false" customHeight="false" outlineLevel="0" collapsed="false">
      <c r="A916" s="0" t="n">
        <v>194093</v>
      </c>
    </row>
    <row r="917" customFormat="false" ht="15" hidden="false" customHeight="false" outlineLevel="0" collapsed="false">
      <c r="A917" s="0" t="n">
        <v>194107</v>
      </c>
    </row>
    <row r="918" customFormat="false" ht="15" hidden="false" customHeight="false" outlineLevel="0" collapsed="false">
      <c r="A918" s="0" t="n">
        <v>194115</v>
      </c>
    </row>
    <row r="919" customFormat="false" ht="15" hidden="false" customHeight="false" outlineLevel="0" collapsed="false">
      <c r="A919" s="0" t="n">
        <v>194123</v>
      </c>
    </row>
    <row r="920" customFormat="false" ht="15" hidden="false" customHeight="false" outlineLevel="0" collapsed="false">
      <c r="A920" s="0" t="n">
        <v>194131</v>
      </c>
    </row>
    <row r="921" customFormat="false" ht="15" hidden="false" customHeight="false" outlineLevel="0" collapsed="false">
      <c r="A921" s="0" t="n">
        <v>194140</v>
      </c>
    </row>
    <row r="922" customFormat="false" ht="15" hidden="false" customHeight="false" outlineLevel="0" collapsed="false">
      <c r="A922" s="0" t="n">
        <v>194158</v>
      </c>
    </row>
    <row r="923" customFormat="false" ht="15" hidden="false" customHeight="false" outlineLevel="0" collapsed="false">
      <c r="A923" s="0" t="n">
        <v>194166</v>
      </c>
    </row>
    <row r="924" customFormat="false" ht="15" hidden="false" customHeight="false" outlineLevel="0" collapsed="false">
      <c r="A924" s="0" t="n">
        <v>194174</v>
      </c>
    </row>
    <row r="925" customFormat="false" ht="15" hidden="false" customHeight="false" outlineLevel="0" collapsed="false">
      <c r="A925" s="0" t="n">
        <v>194182</v>
      </c>
    </row>
    <row r="926" customFormat="false" ht="15" hidden="false" customHeight="false" outlineLevel="0" collapsed="false">
      <c r="A926" s="0" t="n">
        <v>194190</v>
      </c>
    </row>
    <row r="927" customFormat="false" ht="15" hidden="false" customHeight="false" outlineLevel="0" collapsed="false">
      <c r="A927" s="0" t="n">
        <v>194212</v>
      </c>
    </row>
    <row r="928" customFormat="false" ht="15" hidden="false" customHeight="false" outlineLevel="0" collapsed="false">
      <c r="A928" s="0" t="n">
        <v>194220</v>
      </c>
    </row>
    <row r="929" customFormat="false" ht="15" hidden="false" customHeight="false" outlineLevel="0" collapsed="false">
      <c r="A929" s="0" t="n">
        <v>194239</v>
      </c>
    </row>
    <row r="930" customFormat="false" ht="15" hidden="false" customHeight="false" outlineLevel="0" collapsed="false">
      <c r="A930" s="0" t="n">
        <v>194255</v>
      </c>
    </row>
    <row r="931" customFormat="false" ht="15" hidden="false" customHeight="false" outlineLevel="0" collapsed="false">
      <c r="A931" s="0" t="n">
        <v>194263</v>
      </c>
    </row>
    <row r="932" customFormat="false" ht="15" hidden="false" customHeight="false" outlineLevel="0" collapsed="false">
      <c r="A932" s="0" t="n">
        <v>194280</v>
      </c>
    </row>
    <row r="933" customFormat="false" ht="15" hidden="false" customHeight="false" outlineLevel="0" collapsed="false">
      <c r="A933" s="0" t="n">
        <v>194301</v>
      </c>
    </row>
    <row r="934" customFormat="false" ht="15" hidden="false" customHeight="false" outlineLevel="0" collapsed="false">
      <c r="A934" s="0" t="n">
        <v>194310</v>
      </c>
    </row>
    <row r="935" customFormat="false" ht="15" hidden="false" customHeight="false" outlineLevel="0" collapsed="false">
      <c r="A935" s="0" t="n">
        <v>194336</v>
      </c>
    </row>
    <row r="936" customFormat="false" ht="15" hidden="false" customHeight="false" outlineLevel="0" collapsed="false">
      <c r="A936" s="0" t="n">
        <v>194379</v>
      </c>
    </row>
    <row r="937" customFormat="false" ht="15" hidden="false" customHeight="false" outlineLevel="0" collapsed="false">
      <c r="A937" s="0" t="n">
        <v>194417</v>
      </c>
    </row>
    <row r="938" customFormat="false" ht="15" hidden="false" customHeight="false" outlineLevel="0" collapsed="false">
      <c r="A938" s="0" t="n">
        <v>194522</v>
      </c>
      <c r="B938" s="0" t="s">
        <v>658</v>
      </c>
    </row>
    <row r="939" customFormat="false" ht="15" hidden="false" customHeight="false" outlineLevel="0" collapsed="false">
      <c r="A939" s="0" t="n">
        <v>194565</v>
      </c>
      <c r="B939" s="0" t="s">
        <v>659</v>
      </c>
    </row>
    <row r="940" customFormat="false" ht="15" hidden="false" customHeight="false" outlineLevel="0" collapsed="false">
      <c r="A940" s="0" t="n">
        <v>194573</v>
      </c>
    </row>
    <row r="941" customFormat="false" ht="15" hidden="false" customHeight="false" outlineLevel="0" collapsed="false">
      <c r="A941" s="0" t="n">
        <v>194581</v>
      </c>
    </row>
    <row r="942" customFormat="false" ht="15" hidden="false" customHeight="false" outlineLevel="0" collapsed="false">
      <c r="A942" s="0" t="n">
        <v>194590</v>
      </c>
    </row>
    <row r="943" customFormat="false" ht="15" hidden="false" customHeight="false" outlineLevel="0" collapsed="false">
      <c r="A943" s="0" t="n">
        <v>194603</v>
      </c>
    </row>
    <row r="944" customFormat="false" ht="15" hidden="false" customHeight="false" outlineLevel="0" collapsed="false">
      <c r="A944" s="0" t="n">
        <v>194611</v>
      </c>
    </row>
    <row r="945" customFormat="false" ht="15" hidden="false" customHeight="false" outlineLevel="0" collapsed="false">
      <c r="A945" s="0" t="n">
        <v>194620</v>
      </c>
    </row>
    <row r="946" customFormat="false" ht="15" hidden="false" customHeight="false" outlineLevel="0" collapsed="false">
      <c r="A946" s="0" t="n">
        <v>194638</v>
      </c>
    </row>
    <row r="947" customFormat="false" ht="15" hidden="false" customHeight="false" outlineLevel="0" collapsed="false">
      <c r="A947" s="0" t="n">
        <v>194646</v>
      </c>
    </row>
    <row r="948" customFormat="false" ht="15" hidden="false" customHeight="false" outlineLevel="0" collapsed="false">
      <c r="A948" s="0" t="n">
        <v>194654</v>
      </c>
    </row>
    <row r="949" customFormat="false" ht="15" hidden="false" customHeight="false" outlineLevel="0" collapsed="false">
      <c r="A949" s="0" t="n">
        <v>194662</v>
      </c>
    </row>
    <row r="950" customFormat="false" ht="15" hidden="false" customHeight="false" outlineLevel="0" collapsed="false">
      <c r="A950" s="0" t="n">
        <v>194670</v>
      </c>
    </row>
    <row r="951" customFormat="false" ht="15" hidden="false" customHeight="false" outlineLevel="0" collapsed="false">
      <c r="A951" s="0" t="n">
        <v>194689</v>
      </c>
    </row>
    <row r="952" customFormat="false" ht="15" hidden="false" customHeight="false" outlineLevel="0" collapsed="false">
      <c r="A952" s="0" t="n">
        <v>194697</v>
      </c>
    </row>
    <row r="953" customFormat="false" ht="15" hidden="false" customHeight="false" outlineLevel="0" collapsed="false">
      <c r="A953" s="0" t="n">
        <v>194700</v>
      </c>
    </row>
    <row r="954" customFormat="false" ht="15" hidden="false" customHeight="false" outlineLevel="0" collapsed="false">
      <c r="A954" s="0" t="n">
        <v>194719</v>
      </c>
    </row>
    <row r="955" customFormat="false" ht="15" hidden="false" customHeight="false" outlineLevel="0" collapsed="false">
      <c r="A955" s="0" t="n">
        <v>194727</v>
      </c>
    </row>
    <row r="956" customFormat="false" ht="15" hidden="false" customHeight="false" outlineLevel="0" collapsed="false">
      <c r="A956" s="0" t="n">
        <v>194735</v>
      </c>
    </row>
    <row r="957" customFormat="false" ht="15" hidden="false" customHeight="false" outlineLevel="0" collapsed="false">
      <c r="A957" s="0" t="n">
        <v>194743</v>
      </c>
    </row>
    <row r="958" customFormat="false" ht="15" hidden="false" customHeight="false" outlineLevel="0" collapsed="false">
      <c r="A958" s="0" t="n">
        <v>194751</v>
      </c>
    </row>
    <row r="959" customFormat="false" ht="15" hidden="false" customHeight="false" outlineLevel="0" collapsed="false">
      <c r="A959" s="0" t="n">
        <v>194760</v>
      </c>
    </row>
    <row r="960" customFormat="false" ht="15" hidden="false" customHeight="false" outlineLevel="0" collapsed="false">
      <c r="A960" s="0" t="n">
        <v>194778</v>
      </c>
    </row>
    <row r="961" customFormat="false" ht="15" hidden="false" customHeight="false" outlineLevel="0" collapsed="false">
      <c r="A961" s="0" t="n">
        <v>194786</v>
      </c>
    </row>
    <row r="962" customFormat="false" ht="15" hidden="false" customHeight="false" outlineLevel="0" collapsed="false">
      <c r="A962" s="0" t="n">
        <v>194794</v>
      </c>
    </row>
    <row r="963" customFormat="false" ht="15" hidden="false" customHeight="false" outlineLevel="0" collapsed="false">
      <c r="A963" s="0" t="n">
        <v>194808</v>
      </c>
    </row>
    <row r="964" customFormat="false" ht="15" hidden="false" customHeight="false" outlineLevel="0" collapsed="false">
      <c r="A964" s="0" t="n">
        <v>194816</v>
      </c>
    </row>
    <row r="965" customFormat="false" ht="15" hidden="false" customHeight="false" outlineLevel="0" collapsed="false">
      <c r="A965" s="0" t="n">
        <v>194824</v>
      </c>
    </row>
    <row r="966" customFormat="false" ht="15" hidden="false" customHeight="false" outlineLevel="0" collapsed="false">
      <c r="A966" s="0" t="n">
        <v>194832</v>
      </c>
    </row>
    <row r="967" customFormat="false" ht="15" hidden="false" customHeight="false" outlineLevel="0" collapsed="false">
      <c r="A967" s="0" t="n">
        <v>194859</v>
      </c>
    </row>
    <row r="968" customFormat="false" ht="15" hidden="false" customHeight="false" outlineLevel="0" collapsed="false">
      <c r="A968" s="0" t="n">
        <v>194867</v>
      </c>
    </row>
    <row r="969" customFormat="false" ht="15" hidden="false" customHeight="false" outlineLevel="0" collapsed="false">
      <c r="A969" s="0" t="n">
        <v>194875</v>
      </c>
    </row>
    <row r="970" customFormat="false" ht="15" hidden="false" customHeight="false" outlineLevel="0" collapsed="false">
      <c r="A970" s="0" t="n">
        <v>194883</v>
      </c>
    </row>
    <row r="971" customFormat="false" ht="15" hidden="false" customHeight="false" outlineLevel="0" collapsed="false">
      <c r="A971" s="0" t="n">
        <v>194891</v>
      </c>
    </row>
    <row r="972" customFormat="false" ht="15" hidden="false" customHeight="false" outlineLevel="0" collapsed="false">
      <c r="A972" s="0" t="n">
        <v>194905</v>
      </c>
      <c r="B972" s="0" t="s">
        <v>660</v>
      </c>
    </row>
    <row r="973" customFormat="false" ht="15" hidden="false" customHeight="false" outlineLevel="0" collapsed="false">
      <c r="A973" s="0" t="n">
        <v>194921</v>
      </c>
      <c r="B973" s="0" t="s">
        <v>661</v>
      </c>
    </row>
    <row r="974" customFormat="false" ht="15" hidden="false" customHeight="false" outlineLevel="0" collapsed="false">
      <c r="A974" s="0" t="n">
        <v>194930</v>
      </c>
      <c r="B974" s="0" t="s">
        <v>662</v>
      </c>
    </row>
    <row r="975" customFormat="false" ht="15" hidden="false" customHeight="false" outlineLevel="0" collapsed="false">
      <c r="A975" s="0" t="n">
        <v>194948</v>
      </c>
      <c r="B975" s="0" t="s">
        <v>663</v>
      </c>
    </row>
    <row r="976" customFormat="false" ht="15" hidden="false" customHeight="false" outlineLevel="0" collapsed="false">
      <c r="A976" s="0" t="n">
        <v>194964</v>
      </c>
    </row>
    <row r="977" customFormat="false" ht="15" hidden="false" customHeight="false" outlineLevel="0" collapsed="false">
      <c r="A977" s="0" t="n">
        <v>195014</v>
      </c>
    </row>
    <row r="978" customFormat="false" ht="15" hidden="false" customHeight="false" outlineLevel="0" collapsed="false">
      <c r="A978" s="0" t="n">
        <v>195790</v>
      </c>
    </row>
    <row r="979" customFormat="false" ht="15" hidden="false" customHeight="false" outlineLevel="0" collapsed="false">
      <c r="A979" s="0" t="n">
        <v>195804</v>
      </c>
    </row>
    <row r="980" customFormat="false" ht="15" hidden="false" customHeight="false" outlineLevel="0" collapsed="false">
      <c r="A980" s="0" t="n">
        <v>195839</v>
      </c>
    </row>
    <row r="981" customFormat="false" ht="15" hidden="false" customHeight="false" outlineLevel="0" collapsed="false">
      <c r="A981" s="0" t="n">
        <v>195847</v>
      </c>
    </row>
    <row r="982" customFormat="false" ht="15" hidden="false" customHeight="false" outlineLevel="0" collapsed="false">
      <c r="A982" s="0" t="n">
        <v>195863</v>
      </c>
    </row>
    <row r="983" customFormat="false" ht="15" hidden="false" customHeight="false" outlineLevel="0" collapsed="false">
      <c r="A983" s="0" t="n">
        <v>196240</v>
      </c>
      <c r="B983" s="0" t="n">
        <v>30208270000153</v>
      </c>
    </row>
    <row r="984" customFormat="false" ht="15" hidden="false" customHeight="false" outlineLevel="0" collapsed="false">
      <c r="A984" s="0" t="n">
        <v>196495</v>
      </c>
      <c r="B984" s="0" t="s">
        <v>664</v>
      </c>
    </row>
    <row r="985" customFormat="false" ht="15" hidden="false" customHeight="false" outlineLevel="0" collapsed="false">
      <c r="A985" s="0" t="n">
        <v>196509</v>
      </c>
      <c r="B985" s="0" t="s">
        <v>665</v>
      </c>
    </row>
    <row r="986" customFormat="false" ht="15" hidden="false" customHeight="false" outlineLevel="0" collapsed="false">
      <c r="A986" s="0" t="n">
        <v>197297</v>
      </c>
      <c r="B986" s="0" t="s">
        <v>666</v>
      </c>
    </row>
    <row r="987" customFormat="false" ht="15" hidden="false" customHeight="false" outlineLevel="0" collapsed="false">
      <c r="A987" s="0" t="n">
        <v>197300</v>
      </c>
      <c r="B987" s="0" t="s">
        <v>667</v>
      </c>
    </row>
    <row r="988" customFormat="false" ht="15" hidden="false" customHeight="false" outlineLevel="0" collapsed="false">
      <c r="A988" s="0" t="n">
        <v>198226</v>
      </c>
      <c r="B988" s="0" t="s">
        <v>668</v>
      </c>
    </row>
    <row r="989" customFormat="false" ht="15" hidden="false" customHeight="false" outlineLevel="0" collapsed="false">
      <c r="A989" s="0" t="n">
        <v>199095</v>
      </c>
    </row>
    <row r="990" customFormat="false" ht="15" hidden="false" customHeight="false" outlineLevel="0" collapsed="false">
      <c r="A990" s="0" t="n">
        <v>199109</v>
      </c>
    </row>
    <row r="991" customFormat="false" ht="15" hidden="false" customHeight="false" outlineLevel="0" collapsed="false">
      <c r="A991" s="0" t="n">
        <v>199133</v>
      </c>
    </row>
    <row r="992" customFormat="false" ht="15" hidden="false" customHeight="false" outlineLevel="0" collapsed="false">
      <c r="A992" s="0" t="n">
        <v>199150</v>
      </c>
    </row>
    <row r="993" customFormat="false" ht="15" hidden="false" customHeight="false" outlineLevel="0" collapsed="false">
      <c r="A993" s="0" t="n">
        <v>199192</v>
      </c>
    </row>
    <row r="994" customFormat="false" ht="15" hidden="false" customHeight="false" outlineLevel="0" collapsed="false">
      <c r="A994" s="0" t="n">
        <v>199214</v>
      </c>
    </row>
    <row r="995" customFormat="false" ht="15" hidden="false" customHeight="false" outlineLevel="0" collapsed="false">
      <c r="A995" s="0" t="n">
        <v>199320</v>
      </c>
    </row>
    <row r="996" customFormat="false" ht="15" hidden="false" customHeight="false" outlineLevel="0" collapsed="false">
      <c r="A996" s="0" t="n">
        <v>199338</v>
      </c>
    </row>
    <row r="997" customFormat="false" ht="15" hidden="false" customHeight="false" outlineLevel="0" collapsed="false">
      <c r="A997" s="0" t="n">
        <v>199346</v>
      </c>
    </row>
    <row r="998" customFormat="false" ht="15" hidden="false" customHeight="false" outlineLevel="0" collapsed="false">
      <c r="A998" s="0" t="n">
        <v>199354</v>
      </c>
    </row>
    <row r="999" customFormat="false" ht="15" hidden="false" customHeight="false" outlineLevel="0" collapsed="false">
      <c r="A999" s="0" t="n">
        <v>199370</v>
      </c>
    </row>
    <row r="1000" customFormat="false" ht="15" hidden="false" customHeight="false" outlineLevel="0" collapsed="false">
      <c r="A1000" s="0" t="n">
        <v>199389</v>
      </c>
    </row>
    <row r="1001" customFormat="false" ht="15" hidden="false" customHeight="false" outlineLevel="0" collapsed="false">
      <c r="A1001" s="0" t="n">
        <v>199397</v>
      </c>
    </row>
    <row r="1002" customFormat="false" ht="15" hidden="false" customHeight="false" outlineLevel="0" collapsed="false">
      <c r="A1002" s="0" t="n">
        <v>199400</v>
      </c>
    </row>
    <row r="1003" customFormat="false" ht="15" hidden="false" customHeight="false" outlineLevel="0" collapsed="false">
      <c r="A1003" s="0" t="n">
        <v>199419</v>
      </c>
    </row>
    <row r="1004" customFormat="false" ht="15" hidden="false" customHeight="false" outlineLevel="0" collapsed="false">
      <c r="A1004" s="0" t="n">
        <v>199427</v>
      </c>
    </row>
    <row r="1005" customFormat="false" ht="15" hidden="false" customHeight="false" outlineLevel="0" collapsed="false">
      <c r="A1005" s="0" t="n">
        <v>199486</v>
      </c>
    </row>
    <row r="1006" customFormat="false" ht="15" hidden="false" customHeight="false" outlineLevel="0" collapsed="false">
      <c r="A1006" s="0" t="n">
        <v>199508</v>
      </c>
    </row>
    <row r="1007" customFormat="false" ht="15" hidden="false" customHeight="false" outlineLevel="0" collapsed="false">
      <c r="A1007" s="0" t="n">
        <v>199516</v>
      </c>
    </row>
    <row r="1008" customFormat="false" ht="15" hidden="false" customHeight="false" outlineLevel="0" collapsed="false">
      <c r="A1008" s="0" t="n">
        <v>199532</v>
      </c>
    </row>
    <row r="1009" customFormat="false" ht="15" hidden="false" customHeight="false" outlineLevel="0" collapsed="false">
      <c r="A1009" s="0" t="n">
        <v>199540</v>
      </c>
    </row>
    <row r="1010" customFormat="false" ht="15" hidden="false" customHeight="false" outlineLevel="0" collapsed="false">
      <c r="A1010" s="0" t="n">
        <v>199558</v>
      </c>
    </row>
    <row r="1011" customFormat="false" ht="15" hidden="false" customHeight="false" outlineLevel="0" collapsed="false">
      <c r="A1011" s="0" t="n">
        <v>199559</v>
      </c>
    </row>
    <row r="1012" customFormat="false" ht="15" hidden="false" customHeight="false" outlineLevel="0" collapsed="false">
      <c r="A1012" s="0" t="n">
        <v>199575</v>
      </c>
    </row>
    <row r="1013" customFormat="false" ht="15" hidden="false" customHeight="false" outlineLevel="0" collapsed="false">
      <c r="A1013" s="0" t="n">
        <v>199591</v>
      </c>
    </row>
    <row r="1014" customFormat="false" ht="15" hidden="false" customHeight="false" outlineLevel="0" collapsed="false">
      <c r="A1014" s="0" t="n">
        <v>199613</v>
      </c>
    </row>
    <row r="1015" customFormat="false" ht="15" hidden="false" customHeight="false" outlineLevel="0" collapsed="false">
      <c r="A1015" s="0" t="n">
        <v>199630</v>
      </c>
    </row>
    <row r="1016" customFormat="false" ht="15" hidden="false" customHeight="false" outlineLevel="0" collapsed="false">
      <c r="A1016" s="0" t="n">
        <v>199656</v>
      </c>
    </row>
    <row r="1017" customFormat="false" ht="15" hidden="false" customHeight="false" outlineLevel="0" collapsed="false">
      <c r="A1017" s="0" t="n">
        <v>199664</v>
      </c>
    </row>
    <row r="1018" customFormat="false" ht="15" hidden="false" customHeight="false" outlineLevel="0" collapsed="false">
      <c r="A1018" s="0" t="n">
        <v>199672</v>
      </c>
    </row>
    <row r="1019" customFormat="false" ht="15" hidden="false" customHeight="false" outlineLevel="0" collapsed="false">
      <c r="A1019" s="0" t="n">
        <v>199680</v>
      </c>
    </row>
    <row r="1020" customFormat="false" ht="15" hidden="false" customHeight="false" outlineLevel="0" collapsed="false">
      <c r="A1020" s="0" t="n">
        <v>199699</v>
      </c>
    </row>
    <row r="1021" customFormat="false" ht="15" hidden="false" customHeight="false" outlineLevel="0" collapsed="false">
      <c r="A1021" s="0" t="n">
        <v>199702</v>
      </c>
    </row>
    <row r="1022" customFormat="false" ht="15" hidden="false" customHeight="false" outlineLevel="0" collapsed="false">
      <c r="A1022" s="0" t="n">
        <v>199710</v>
      </c>
    </row>
    <row r="1023" customFormat="false" ht="15" hidden="false" customHeight="false" outlineLevel="0" collapsed="false">
      <c r="A1023" s="0" t="n">
        <v>199729</v>
      </c>
    </row>
    <row r="1024" customFormat="false" ht="15" hidden="false" customHeight="false" outlineLevel="0" collapsed="false">
      <c r="A1024" s="0" t="n">
        <v>199745</v>
      </c>
    </row>
    <row r="1025" customFormat="false" ht="15" hidden="false" customHeight="false" outlineLevel="0" collapsed="false">
      <c r="A1025" s="0" t="n">
        <v>199753</v>
      </c>
    </row>
    <row r="1026" customFormat="false" ht="15" hidden="false" customHeight="false" outlineLevel="0" collapsed="false">
      <c r="A1026" s="0" t="n">
        <v>199761</v>
      </c>
    </row>
    <row r="1027" customFormat="false" ht="15" hidden="false" customHeight="false" outlineLevel="0" collapsed="false">
      <c r="A1027" s="0" t="n">
        <v>199788</v>
      </c>
    </row>
    <row r="1028" customFormat="false" ht="15" hidden="false" customHeight="false" outlineLevel="0" collapsed="false">
      <c r="A1028" s="0" t="n">
        <v>199800</v>
      </c>
    </row>
    <row r="1029" customFormat="false" ht="15" hidden="false" customHeight="false" outlineLevel="0" collapsed="false">
      <c r="A1029" s="0" t="n">
        <v>199818</v>
      </c>
    </row>
    <row r="1030" customFormat="false" ht="15" hidden="false" customHeight="false" outlineLevel="0" collapsed="false">
      <c r="A1030" s="0" t="n">
        <v>199826</v>
      </c>
    </row>
    <row r="1031" customFormat="false" ht="15" hidden="false" customHeight="false" outlineLevel="0" collapsed="false">
      <c r="A1031" s="0" t="n">
        <v>199834</v>
      </c>
    </row>
    <row r="1032" customFormat="false" ht="15" hidden="false" customHeight="false" outlineLevel="0" collapsed="false">
      <c r="A1032" s="0" t="n">
        <v>199850</v>
      </c>
    </row>
    <row r="1033" customFormat="false" ht="15" hidden="false" customHeight="false" outlineLevel="0" collapsed="false">
      <c r="A1033" s="0" t="n">
        <v>199869</v>
      </c>
    </row>
    <row r="1034" customFormat="false" ht="15" hidden="false" customHeight="false" outlineLevel="0" collapsed="false">
      <c r="A1034" s="0" t="n">
        <v>199877</v>
      </c>
    </row>
    <row r="1035" customFormat="false" ht="15" hidden="false" customHeight="false" outlineLevel="0" collapsed="false">
      <c r="A1035" s="0" t="n">
        <v>199885</v>
      </c>
    </row>
    <row r="1036" customFormat="false" ht="15" hidden="false" customHeight="false" outlineLevel="0" collapsed="false">
      <c r="A1036" s="0" t="n">
        <v>199893</v>
      </c>
    </row>
    <row r="1037" customFormat="false" ht="15" hidden="false" customHeight="false" outlineLevel="0" collapsed="false">
      <c r="A1037" s="0" t="n">
        <v>199907</v>
      </c>
    </row>
    <row r="1038" customFormat="false" ht="15" hidden="false" customHeight="false" outlineLevel="0" collapsed="false">
      <c r="A1038" s="0" t="n">
        <v>199915</v>
      </c>
    </row>
    <row r="1039" customFormat="false" ht="15" hidden="false" customHeight="false" outlineLevel="0" collapsed="false">
      <c r="A1039" s="0" t="n">
        <v>199923</v>
      </c>
    </row>
    <row r="1040" customFormat="false" ht="15" hidden="false" customHeight="false" outlineLevel="0" collapsed="false">
      <c r="A1040" s="0" t="n">
        <v>199958</v>
      </c>
    </row>
    <row r="1041" customFormat="false" ht="15" hidden="false" customHeight="false" outlineLevel="0" collapsed="false">
      <c r="A1041" s="0" t="n">
        <v>199982</v>
      </c>
    </row>
    <row r="1042" customFormat="false" ht="15" hidden="false" customHeight="false" outlineLevel="0" collapsed="false">
      <c r="A1042" s="0" t="n">
        <v>199990</v>
      </c>
    </row>
    <row r="1043" customFormat="false" ht="15" hidden="false" customHeight="false" outlineLevel="0" collapsed="false">
      <c r="A1043" s="0" t="n">
        <v>200387</v>
      </c>
    </row>
    <row r="1044" customFormat="false" ht="15" hidden="false" customHeight="false" outlineLevel="0" collapsed="false">
      <c r="A1044" s="0" t="n">
        <v>203475</v>
      </c>
    </row>
    <row r="1045" customFormat="false" ht="15" hidden="false" customHeight="false" outlineLevel="0" collapsed="false">
      <c r="A1045" s="0" t="n">
        <v>203483</v>
      </c>
    </row>
    <row r="1046" customFormat="false" ht="15" hidden="false" customHeight="false" outlineLevel="0" collapsed="false">
      <c r="A1046" s="0" t="n">
        <v>203491</v>
      </c>
      <c r="B1046" s="0" t="n">
        <v>3507415000810</v>
      </c>
    </row>
    <row r="1047" customFormat="false" ht="15" hidden="false" customHeight="false" outlineLevel="0" collapsed="false">
      <c r="A1047" s="0" t="n">
        <v>203505</v>
      </c>
    </row>
    <row r="1048" customFormat="false" ht="15" hidden="false" customHeight="false" outlineLevel="0" collapsed="false">
      <c r="A1048" s="0" t="n">
        <v>203513</v>
      </c>
    </row>
    <row r="1049" customFormat="false" ht="15" hidden="false" customHeight="false" outlineLevel="0" collapsed="false">
      <c r="A1049" s="0" t="n">
        <v>203521</v>
      </c>
    </row>
    <row r="1050" customFormat="false" ht="15" hidden="false" customHeight="false" outlineLevel="0" collapsed="false">
      <c r="A1050" s="0" t="n">
        <v>203530</v>
      </c>
    </row>
    <row r="1051" customFormat="false" ht="15" hidden="false" customHeight="false" outlineLevel="0" collapsed="false">
      <c r="A1051" s="0" t="n">
        <v>203548</v>
      </c>
    </row>
    <row r="1052" customFormat="false" ht="15" hidden="false" customHeight="false" outlineLevel="0" collapsed="false">
      <c r="A1052" s="0" t="n">
        <v>210722</v>
      </c>
      <c r="B1052" s="0" t="n">
        <v>3507415000810</v>
      </c>
    </row>
    <row r="1053" customFormat="false" ht="15" hidden="false" customHeight="false" outlineLevel="0" collapsed="false">
      <c r="A1053" s="0" t="n">
        <v>210730</v>
      </c>
      <c r="B1053" s="0" t="n">
        <v>3507415000810</v>
      </c>
    </row>
    <row r="1054" customFormat="false" ht="15" hidden="false" customHeight="false" outlineLevel="0" collapsed="false">
      <c r="A1054" s="0" t="n">
        <v>210749</v>
      </c>
      <c r="B1054" s="0" t="n">
        <v>3507415000810</v>
      </c>
    </row>
    <row r="1055" customFormat="false" ht="15" hidden="false" customHeight="false" outlineLevel="0" collapsed="false">
      <c r="A1055" s="0" t="n">
        <v>210757</v>
      </c>
      <c r="B1055" s="0" t="n">
        <v>3507415000810</v>
      </c>
    </row>
    <row r="1056" customFormat="false" ht="15" hidden="false" customHeight="false" outlineLevel="0" collapsed="false">
      <c r="A1056" s="0" t="n">
        <v>210765</v>
      </c>
      <c r="B1056" s="0" t="n">
        <v>3507415000810</v>
      </c>
    </row>
    <row r="1057" customFormat="false" ht="15" hidden="false" customHeight="false" outlineLevel="0" collapsed="false">
      <c r="A1057" s="0" t="n">
        <v>210773</v>
      </c>
      <c r="B1057" s="0" t="n">
        <v>3507415000810</v>
      </c>
    </row>
    <row r="1058" customFormat="false" ht="15" hidden="false" customHeight="false" outlineLevel="0" collapsed="false">
      <c r="A1058" s="0" t="n">
        <v>210781</v>
      </c>
    </row>
    <row r="1059" customFormat="false" ht="15" hidden="false" customHeight="false" outlineLevel="0" collapsed="false">
      <c r="A1059" s="0" t="n">
        <v>210790</v>
      </c>
      <c r="B1059" s="0" t="n">
        <v>3507415000810</v>
      </c>
    </row>
    <row r="1060" customFormat="false" ht="15" hidden="false" customHeight="false" outlineLevel="0" collapsed="false">
      <c r="A1060" s="0" t="n">
        <v>210803</v>
      </c>
      <c r="B1060" s="0" t="n">
        <v>3507415000810</v>
      </c>
    </row>
    <row r="1061" customFormat="false" ht="15" hidden="false" customHeight="false" outlineLevel="0" collapsed="false">
      <c r="A1061" s="0" t="n">
        <v>210811</v>
      </c>
      <c r="B1061" s="0" t="n">
        <v>3507415000810</v>
      </c>
    </row>
    <row r="1062" customFormat="false" ht="15" hidden="false" customHeight="false" outlineLevel="0" collapsed="false">
      <c r="A1062" s="0" t="n">
        <v>210820</v>
      </c>
      <c r="B1062" s="0" t="n">
        <v>3507415000810</v>
      </c>
    </row>
    <row r="1063" customFormat="false" ht="15" hidden="false" customHeight="false" outlineLevel="0" collapsed="false">
      <c r="A1063" s="0" t="n">
        <v>210838</v>
      </c>
      <c r="B1063" s="0" t="n">
        <v>3507415000810</v>
      </c>
    </row>
    <row r="1064" customFormat="false" ht="15" hidden="false" customHeight="false" outlineLevel="0" collapsed="false">
      <c r="A1064" s="0" t="n">
        <v>210846</v>
      </c>
    </row>
    <row r="1065" customFormat="false" ht="15" hidden="false" customHeight="false" outlineLevel="0" collapsed="false">
      <c r="A1065" s="0" t="n">
        <v>210854</v>
      </c>
      <c r="B1065" s="0" t="n">
        <v>3507415000810</v>
      </c>
    </row>
    <row r="1066" customFormat="false" ht="15" hidden="false" customHeight="false" outlineLevel="0" collapsed="false">
      <c r="A1066" s="0" t="n">
        <v>210862</v>
      </c>
      <c r="B1066" s="0" t="n">
        <v>3507415000810</v>
      </c>
    </row>
    <row r="1067" customFormat="false" ht="15" hidden="false" customHeight="false" outlineLevel="0" collapsed="false">
      <c r="A1067" s="0" t="n">
        <v>210900</v>
      </c>
      <c r="B1067" s="0" t="n">
        <v>3507415000810</v>
      </c>
    </row>
    <row r="1068" customFormat="false" ht="15" hidden="false" customHeight="false" outlineLevel="0" collapsed="false">
      <c r="A1068" s="0" t="n">
        <v>210919</v>
      </c>
      <c r="B1068" s="0" t="n">
        <v>3507415000810</v>
      </c>
    </row>
    <row r="1069" customFormat="false" ht="15" hidden="false" customHeight="false" outlineLevel="0" collapsed="false">
      <c r="A1069" s="0" t="n">
        <v>210935</v>
      </c>
      <c r="B1069" s="0" t="n">
        <v>3507415000810</v>
      </c>
    </row>
    <row r="1070" customFormat="false" ht="15" hidden="false" customHeight="false" outlineLevel="0" collapsed="false">
      <c r="A1070" s="0" t="n">
        <v>210960</v>
      </c>
      <c r="B1070" s="0" t="n">
        <v>3507415000810</v>
      </c>
    </row>
    <row r="1071" customFormat="false" ht="15" hidden="false" customHeight="false" outlineLevel="0" collapsed="false">
      <c r="A1071" s="0" t="n">
        <v>210978</v>
      </c>
      <c r="B1071" s="0" t="n">
        <v>3507415000810</v>
      </c>
    </row>
    <row r="1072" customFormat="false" ht="15" hidden="false" customHeight="false" outlineLevel="0" collapsed="false">
      <c r="A1072" s="0" t="n">
        <v>210986</v>
      </c>
      <c r="B1072" s="0" t="n">
        <v>3507415000810</v>
      </c>
    </row>
    <row r="1073" customFormat="false" ht="15" hidden="false" customHeight="false" outlineLevel="0" collapsed="false">
      <c r="A1073" s="0" t="n">
        <v>210994</v>
      </c>
      <c r="B1073" s="0" t="n">
        <v>3507415000810</v>
      </c>
    </row>
    <row r="1074" customFormat="false" ht="15" hidden="false" customHeight="false" outlineLevel="0" collapsed="false">
      <c r="A1074" s="0" t="n">
        <v>211001</v>
      </c>
      <c r="B1074" s="0" t="n">
        <v>3507415000810</v>
      </c>
    </row>
    <row r="1075" customFormat="false" ht="15" hidden="false" customHeight="false" outlineLevel="0" collapsed="false">
      <c r="A1075" s="0" t="n">
        <v>211010</v>
      </c>
      <c r="B1075" s="0" t="n">
        <v>3507415000810</v>
      </c>
    </row>
    <row r="1076" customFormat="false" ht="15" hidden="false" customHeight="false" outlineLevel="0" collapsed="false">
      <c r="A1076" s="0" t="n">
        <v>211028</v>
      </c>
      <c r="B1076" s="0" t="n">
        <v>3507415000810</v>
      </c>
    </row>
    <row r="1077" customFormat="false" ht="15" hidden="false" customHeight="false" outlineLevel="0" collapsed="false">
      <c r="A1077" s="0" t="n">
        <v>211036</v>
      </c>
      <c r="B1077" s="0" t="n">
        <v>3507415000810</v>
      </c>
    </row>
    <row r="1078" customFormat="false" ht="15" hidden="false" customHeight="false" outlineLevel="0" collapsed="false">
      <c r="A1078" s="0" t="n">
        <v>211044</v>
      </c>
      <c r="B1078" s="0" t="n">
        <v>3507415000810</v>
      </c>
    </row>
    <row r="1079" customFormat="false" ht="15" hidden="false" customHeight="false" outlineLevel="0" collapsed="false">
      <c r="A1079" s="0" t="n">
        <v>211052</v>
      </c>
      <c r="B1079" s="0" t="n">
        <v>3507415000810</v>
      </c>
    </row>
    <row r="1080" customFormat="false" ht="15" hidden="false" customHeight="false" outlineLevel="0" collapsed="false">
      <c r="A1080" s="0" t="n">
        <v>211060</v>
      </c>
      <c r="B1080" s="0" t="n">
        <v>3507415000810</v>
      </c>
    </row>
    <row r="1081" customFormat="false" ht="15" hidden="false" customHeight="false" outlineLevel="0" collapsed="false">
      <c r="A1081" s="0" t="n">
        <v>211079</v>
      </c>
      <c r="B1081" s="0" t="n">
        <v>3507415000810</v>
      </c>
    </row>
    <row r="1082" customFormat="false" ht="15" hidden="false" customHeight="false" outlineLevel="0" collapsed="false">
      <c r="A1082" s="0" t="n">
        <v>211087</v>
      </c>
      <c r="B1082" s="0" t="n">
        <v>3507415000810</v>
      </c>
    </row>
    <row r="1083" customFormat="false" ht="15" hidden="false" customHeight="false" outlineLevel="0" collapsed="false">
      <c r="A1083" s="0" t="n">
        <v>211095</v>
      </c>
      <c r="B1083" s="0" t="n">
        <v>3507415000810</v>
      </c>
    </row>
    <row r="1084" customFormat="false" ht="15" hidden="false" customHeight="false" outlineLevel="0" collapsed="false">
      <c r="A1084" s="0" t="n">
        <v>211109</v>
      </c>
      <c r="B1084" s="0" t="n">
        <v>3507415000810</v>
      </c>
    </row>
    <row r="1085" customFormat="false" ht="15" hidden="false" customHeight="false" outlineLevel="0" collapsed="false">
      <c r="A1085" s="0" t="n">
        <v>211117</v>
      </c>
    </row>
    <row r="1086" customFormat="false" ht="15" hidden="false" customHeight="false" outlineLevel="0" collapsed="false">
      <c r="A1086" s="0" t="n">
        <v>211125</v>
      </c>
      <c r="B1086" s="0" t="n">
        <v>3507415000810</v>
      </c>
    </row>
    <row r="1087" customFormat="false" ht="15" hidden="false" customHeight="false" outlineLevel="0" collapsed="false">
      <c r="A1087" s="0" t="n">
        <v>211133</v>
      </c>
      <c r="B1087" s="0" t="n">
        <v>3507415000810</v>
      </c>
    </row>
    <row r="1088" customFormat="false" ht="15" hidden="false" customHeight="false" outlineLevel="0" collapsed="false">
      <c r="A1088" s="0" t="n">
        <v>211141</v>
      </c>
      <c r="B1088" s="0" t="n">
        <v>3507415000810</v>
      </c>
    </row>
    <row r="1089" customFormat="false" ht="15" hidden="false" customHeight="false" outlineLevel="0" collapsed="false">
      <c r="A1089" s="0" t="n">
        <v>211150</v>
      </c>
      <c r="B1089" s="0" t="n">
        <v>3507415000810</v>
      </c>
    </row>
    <row r="1090" customFormat="false" ht="15" hidden="false" customHeight="false" outlineLevel="0" collapsed="false">
      <c r="A1090" s="0" t="n">
        <v>211168</v>
      </c>
      <c r="B1090" s="0" t="n">
        <v>3507415000810</v>
      </c>
    </row>
    <row r="1091" customFormat="false" ht="15" hidden="false" customHeight="false" outlineLevel="0" collapsed="false">
      <c r="A1091" s="0" t="n">
        <v>211176</v>
      </c>
      <c r="B1091" s="0" t="n">
        <v>3507415000810</v>
      </c>
    </row>
    <row r="1092" customFormat="false" ht="15" hidden="false" customHeight="false" outlineLevel="0" collapsed="false">
      <c r="A1092" s="0" t="n">
        <v>211184</v>
      </c>
      <c r="B1092" s="0" t="n">
        <v>3507415000810</v>
      </c>
    </row>
    <row r="1093" customFormat="false" ht="15" hidden="false" customHeight="false" outlineLevel="0" collapsed="false">
      <c r="A1093" s="0" t="n">
        <v>211192</v>
      </c>
      <c r="B1093" s="0" t="n">
        <v>3507415000810</v>
      </c>
    </row>
    <row r="1094" customFormat="false" ht="15" hidden="false" customHeight="false" outlineLevel="0" collapsed="false">
      <c r="A1094" s="0" t="n">
        <v>211214</v>
      </c>
      <c r="B1094" s="0" t="n">
        <v>3507415000810</v>
      </c>
    </row>
    <row r="1095" customFormat="false" ht="15" hidden="false" customHeight="false" outlineLevel="0" collapsed="false">
      <c r="A1095" s="0" t="n">
        <v>211222</v>
      </c>
      <c r="B1095" s="0" t="n">
        <v>3507415000810</v>
      </c>
    </row>
    <row r="1096" customFormat="false" ht="15" hidden="false" customHeight="false" outlineLevel="0" collapsed="false">
      <c r="A1096" s="0" t="n">
        <v>211230</v>
      </c>
      <c r="B1096" s="0" t="n">
        <v>3507415000810</v>
      </c>
    </row>
    <row r="1097" customFormat="false" ht="15" hidden="false" customHeight="false" outlineLevel="0" collapsed="false">
      <c r="A1097" s="0" t="n">
        <v>211249</v>
      </c>
      <c r="B1097" s="0" t="n">
        <v>3507415000810</v>
      </c>
    </row>
    <row r="1098" customFormat="false" ht="15" hidden="false" customHeight="false" outlineLevel="0" collapsed="false">
      <c r="A1098" s="0" t="n">
        <v>211257</v>
      </c>
      <c r="B1098" s="0" t="n">
        <v>3507415000810</v>
      </c>
    </row>
    <row r="1099" customFormat="false" ht="15" hidden="false" customHeight="false" outlineLevel="0" collapsed="false">
      <c r="A1099" s="0" t="n">
        <v>211265</v>
      </c>
      <c r="B1099" s="0" t="n">
        <v>3507415000810</v>
      </c>
    </row>
    <row r="1100" customFormat="false" ht="15" hidden="false" customHeight="false" outlineLevel="0" collapsed="false">
      <c r="A1100" s="0" t="n">
        <v>211273</v>
      </c>
      <c r="B1100" s="0" t="n">
        <v>3507415000810</v>
      </c>
    </row>
    <row r="1101" customFormat="false" ht="15" hidden="false" customHeight="false" outlineLevel="0" collapsed="false">
      <c r="A1101" s="0" t="n">
        <v>211281</v>
      </c>
      <c r="B1101" s="0" t="n">
        <v>3507415000810</v>
      </c>
    </row>
    <row r="1102" customFormat="false" ht="15" hidden="false" customHeight="false" outlineLevel="0" collapsed="false">
      <c r="A1102" s="0" t="n">
        <v>211290</v>
      </c>
      <c r="B1102" s="0" t="n">
        <v>3507415000810</v>
      </c>
    </row>
    <row r="1103" customFormat="false" ht="15" hidden="false" customHeight="false" outlineLevel="0" collapsed="false">
      <c r="A1103" s="0" t="n">
        <v>211303</v>
      </c>
      <c r="B1103" s="0" t="n">
        <v>3507415000810</v>
      </c>
    </row>
    <row r="1104" customFormat="false" ht="15" hidden="false" customHeight="false" outlineLevel="0" collapsed="false">
      <c r="A1104" s="0" t="n">
        <v>211311</v>
      </c>
      <c r="B1104" s="0" t="n">
        <v>3507415000810</v>
      </c>
    </row>
    <row r="1105" customFormat="false" ht="15" hidden="false" customHeight="false" outlineLevel="0" collapsed="false">
      <c r="A1105" s="0" t="n">
        <v>211320</v>
      </c>
      <c r="B1105" s="0" t="n">
        <v>3507415000810</v>
      </c>
    </row>
    <row r="1106" customFormat="false" ht="15" hidden="false" customHeight="false" outlineLevel="0" collapsed="false">
      <c r="A1106" s="0" t="n">
        <v>211338</v>
      </c>
      <c r="B1106" s="0" t="n">
        <v>3507415000810</v>
      </c>
    </row>
    <row r="1107" customFormat="false" ht="15" hidden="false" customHeight="false" outlineLevel="0" collapsed="false">
      <c r="A1107" s="0" t="n">
        <v>211346</v>
      </c>
      <c r="B1107" s="0" t="n">
        <v>3507415000810</v>
      </c>
    </row>
    <row r="1108" customFormat="false" ht="15" hidden="false" customHeight="false" outlineLevel="0" collapsed="false">
      <c r="A1108" s="0" t="n">
        <v>211354</v>
      </c>
      <c r="B1108" s="0" t="n">
        <v>3507415000810</v>
      </c>
    </row>
    <row r="1109" customFormat="false" ht="15" hidden="false" customHeight="false" outlineLevel="0" collapsed="false">
      <c r="A1109" s="0" t="n">
        <v>211362</v>
      </c>
      <c r="B1109" s="0" t="n">
        <v>3507415000810</v>
      </c>
    </row>
    <row r="1110" customFormat="false" ht="15" hidden="false" customHeight="false" outlineLevel="0" collapsed="false">
      <c r="A1110" s="0" t="n">
        <v>211370</v>
      </c>
      <c r="B1110" s="0" t="n">
        <v>3507415000810</v>
      </c>
    </row>
    <row r="1111" customFormat="false" ht="15" hidden="false" customHeight="false" outlineLevel="0" collapsed="false">
      <c r="A1111" s="0" t="n">
        <v>211389</v>
      </c>
      <c r="B1111" s="0" t="n">
        <v>3507415000810</v>
      </c>
    </row>
    <row r="1112" customFormat="false" ht="15" hidden="false" customHeight="false" outlineLevel="0" collapsed="false">
      <c r="A1112" s="0" t="n">
        <v>211397</v>
      </c>
      <c r="B1112" s="0" t="n">
        <v>3507415000810</v>
      </c>
    </row>
    <row r="1113" customFormat="false" ht="15" hidden="false" customHeight="false" outlineLevel="0" collapsed="false">
      <c r="A1113" s="0" t="n">
        <v>211400</v>
      </c>
      <c r="B1113" s="0" t="n">
        <v>3507415000810</v>
      </c>
    </row>
    <row r="1114" customFormat="false" ht="15" hidden="false" customHeight="false" outlineLevel="0" collapsed="false">
      <c r="A1114" s="0" t="n">
        <v>211419</v>
      </c>
      <c r="B1114" s="0" t="n">
        <v>3507415000810</v>
      </c>
    </row>
    <row r="1115" customFormat="false" ht="15" hidden="false" customHeight="false" outlineLevel="0" collapsed="false">
      <c r="A1115" s="0" t="n">
        <v>211427</v>
      </c>
      <c r="B1115" s="0" t="n">
        <v>3507415000810</v>
      </c>
    </row>
    <row r="1116" customFormat="false" ht="15" hidden="false" customHeight="false" outlineLevel="0" collapsed="false">
      <c r="A1116" s="0" t="n">
        <v>211435</v>
      </c>
      <c r="B1116" s="0" t="n">
        <v>3507415000810</v>
      </c>
    </row>
    <row r="1117" customFormat="false" ht="15" hidden="false" customHeight="false" outlineLevel="0" collapsed="false">
      <c r="A1117" s="0" t="n">
        <v>211451</v>
      </c>
      <c r="B1117" s="0" t="n">
        <v>3507415000810</v>
      </c>
    </row>
    <row r="1118" customFormat="false" ht="15" hidden="false" customHeight="false" outlineLevel="0" collapsed="false">
      <c r="A1118" s="0" t="n">
        <v>211460</v>
      </c>
      <c r="B1118" s="0" t="n">
        <v>3507415000810</v>
      </c>
    </row>
    <row r="1119" customFormat="false" ht="15" hidden="false" customHeight="false" outlineLevel="0" collapsed="false">
      <c r="A1119" s="0" t="n">
        <v>211486</v>
      </c>
      <c r="B1119" s="0" t="n">
        <v>3507415000810</v>
      </c>
    </row>
    <row r="1120" customFormat="false" ht="15" hidden="false" customHeight="false" outlineLevel="0" collapsed="false">
      <c r="A1120" s="0" t="n">
        <v>211508</v>
      </c>
      <c r="B1120" s="0" t="n">
        <v>3507415000810</v>
      </c>
    </row>
    <row r="1121" customFormat="false" ht="15" hidden="false" customHeight="false" outlineLevel="0" collapsed="false">
      <c r="A1121" s="0" t="n">
        <v>212431</v>
      </c>
      <c r="B1121" s="0" t="s">
        <v>669</v>
      </c>
    </row>
    <row r="1122" customFormat="false" ht="15" hidden="false" customHeight="false" outlineLevel="0" collapsed="false">
      <c r="A1122" s="0" t="n">
        <v>212440</v>
      </c>
      <c r="B1122" s="0" t="s">
        <v>670</v>
      </c>
    </row>
    <row r="1123" customFormat="false" ht="15" hidden="false" customHeight="false" outlineLevel="0" collapsed="false">
      <c r="A1123" s="0" t="n">
        <v>212466</v>
      </c>
      <c r="B1123" s="0" t="n">
        <v>42258351000147</v>
      </c>
    </row>
    <row r="1124" customFormat="false" ht="15" hidden="false" customHeight="false" outlineLevel="0" collapsed="false">
      <c r="A1124" s="0" t="n">
        <v>212474</v>
      </c>
      <c r="B1124" s="0" t="s">
        <v>671</v>
      </c>
    </row>
    <row r="1125" customFormat="false" ht="15" hidden="false" customHeight="false" outlineLevel="0" collapsed="false">
      <c r="A1125" s="0" t="n">
        <v>212482</v>
      </c>
      <c r="B1125" s="0" t="s">
        <v>672</v>
      </c>
    </row>
    <row r="1126" customFormat="false" ht="15" hidden="false" customHeight="false" outlineLevel="0" collapsed="false">
      <c r="A1126" s="0" t="n">
        <v>212490</v>
      </c>
      <c r="B1126" s="0" t="s">
        <v>673</v>
      </c>
    </row>
    <row r="1127" customFormat="false" ht="15" hidden="false" customHeight="false" outlineLevel="0" collapsed="false">
      <c r="A1127" s="0" t="n">
        <v>212504</v>
      </c>
      <c r="B1127" s="0" t="s">
        <v>674</v>
      </c>
    </row>
    <row r="1128" customFormat="false" ht="15" hidden="false" customHeight="false" outlineLevel="0" collapsed="false">
      <c r="A1128" s="0" t="n">
        <v>212512</v>
      </c>
      <c r="B1128" s="0" t="s">
        <v>675</v>
      </c>
    </row>
    <row r="1129" customFormat="false" ht="15" hidden="false" customHeight="false" outlineLevel="0" collapsed="false">
      <c r="A1129" s="0" t="n">
        <v>213128</v>
      </c>
      <c r="B1129" s="0" t="n">
        <v>3507415000810</v>
      </c>
    </row>
    <row r="1130" customFormat="false" ht="15" hidden="false" customHeight="false" outlineLevel="0" collapsed="false">
      <c r="A1130" s="0" t="n">
        <v>213144</v>
      </c>
      <c r="B1130" s="0" t="n">
        <v>3507415000810</v>
      </c>
    </row>
    <row r="1131" customFormat="false" ht="15" hidden="false" customHeight="false" outlineLevel="0" collapsed="false">
      <c r="A1131" s="0" t="n">
        <v>213152</v>
      </c>
      <c r="B1131" s="0" t="n">
        <v>3507415000810</v>
      </c>
    </row>
    <row r="1132" customFormat="false" ht="15" hidden="false" customHeight="false" outlineLevel="0" collapsed="false">
      <c r="A1132" s="0" t="n">
        <v>213160</v>
      </c>
      <c r="B1132" s="0" t="n">
        <v>3507415000810</v>
      </c>
    </row>
    <row r="1133" customFormat="false" ht="15" hidden="false" customHeight="false" outlineLevel="0" collapsed="false">
      <c r="A1133" s="0" t="n">
        <v>213179</v>
      </c>
      <c r="B1133" s="0" t="n">
        <v>3507415000810</v>
      </c>
    </row>
    <row r="1134" customFormat="false" ht="15" hidden="false" customHeight="false" outlineLevel="0" collapsed="false">
      <c r="A1134" s="0" t="n">
        <v>213187</v>
      </c>
      <c r="B1134" s="0" t="n">
        <v>3507415000810</v>
      </c>
    </row>
    <row r="1135" customFormat="false" ht="15" hidden="false" customHeight="false" outlineLevel="0" collapsed="false">
      <c r="A1135" s="0" t="n">
        <v>213195</v>
      </c>
      <c r="B1135" s="0" t="n">
        <v>3507415000810</v>
      </c>
    </row>
    <row r="1136" customFormat="false" ht="15" hidden="false" customHeight="false" outlineLevel="0" collapsed="false">
      <c r="A1136" s="0" t="n">
        <v>213209</v>
      </c>
      <c r="B1136" s="0" t="n">
        <v>3507415000810</v>
      </c>
    </row>
    <row r="1137" customFormat="false" ht="15" hidden="false" customHeight="false" outlineLevel="0" collapsed="false">
      <c r="A1137" s="0" t="n">
        <v>213217</v>
      </c>
      <c r="B1137" s="0" t="n">
        <v>3507415000810</v>
      </c>
    </row>
    <row r="1138" customFormat="false" ht="15" hidden="false" customHeight="false" outlineLevel="0" collapsed="false">
      <c r="A1138" s="0" t="n">
        <v>213225</v>
      </c>
      <c r="B1138" s="0" t="n">
        <v>3507415000810</v>
      </c>
    </row>
    <row r="1139" customFormat="false" ht="15" hidden="false" customHeight="false" outlineLevel="0" collapsed="false">
      <c r="A1139" s="0" t="n">
        <v>213233</v>
      </c>
      <c r="B1139" s="0" t="n">
        <v>3507415000810</v>
      </c>
    </row>
    <row r="1140" customFormat="false" ht="15" hidden="false" customHeight="false" outlineLevel="0" collapsed="false">
      <c r="A1140" s="0" t="n">
        <v>213241</v>
      </c>
      <c r="B1140" s="0" t="n">
        <v>3507415000810</v>
      </c>
    </row>
    <row r="1141" customFormat="false" ht="15" hidden="false" customHeight="false" outlineLevel="0" collapsed="false">
      <c r="A1141" s="0" t="n">
        <v>213250</v>
      </c>
      <c r="B1141" s="0" t="n">
        <v>3507415000810</v>
      </c>
    </row>
    <row r="1142" customFormat="false" ht="15" hidden="false" customHeight="false" outlineLevel="0" collapsed="false">
      <c r="A1142" s="0" t="n">
        <v>213268</v>
      </c>
      <c r="B1142" s="0" t="n">
        <v>3507415000810</v>
      </c>
    </row>
    <row r="1143" customFormat="false" ht="15" hidden="false" customHeight="false" outlineLevel="0" collapsed="false">
      <c r="A1143" s="0" t="n">
        <v>213276</v>
      </c>
      <c r="B1143" s="0" t="n">
        <v>3507415000810</v>
      </c>
    </row>
    <row r="1144" customFormat="false" ht="15" hidden="false" customHeight="false" outlineLevel="0" collapsed="false">
      <c r="A1144" s="0" t="n">
        <v>213284</v>
      </c>
      <c r="B1144" s="0" t="n">
        <v>3507415000810</v>
      </c>
    </row>
    <row r="1145" customFormat="false" ht="15" hidden="false" customHeight="false" outlineLevel="0" collapsed="false">
      <c r="A1145" s="0" t="n">
        <v>213292</v>
      </c>
      <c r="B1145" s="0" t="n">
        <v>3507415000810</v>
      </c>
    </row>
    <row r="1146" customFormat="false" ht="15" hidden="false" customHeight="false" outlineLevel="0" collapsed="false">
      <c r="A1146" s="0" t="n">
        <v>213306</v>
      </c>
      <c r="B1146" s="0" t="n">
        <v>3507415000810</v>
      </c>
    </row>
    <row r="1147" customFormat="false" ht="15" hidden="false" customHeight="false" outlineLevel="0" collapsed="false">
      <c r="A1147" s="0" t="n">
        <v>213314</v>
      </c>
      <c r="B1147" s="0" t="n">
        <v>3507415000810</v>
      </c>
    </row>
    <row r="1148" customFormat="false" ht="15" hidden="false" customHeight="false" outlineLevel="0" collapsed="false">
      <c r="A1148" s="0" t="n">
        <v>213322</v>
      </c>
      <c r="B1148" s="0" t="n">
        <v>3507415000810</v>
      </c>
    </row>
    <row r="1149" customFormat="false" ht="15" hidden="false" customHeight="false" outlineLevel="0" collapsed="false">
      <c r="A1149" s="0" t="n">
        <v>213330</v>
      </c>
      <c r="B1149" s="0" t="n">
        <v>3507415000810</v>
      </c>
    </row>
    <row r="1150" customFormat="false" ht="15" hidden="false" customHeight="false" outlineLevel="0" collapsed="false">
      <c r="A1150" s="0" t="n">
        <v>213349</v>
      </c>
      <c r="B1150" s="0" t="n">
        <v>3507415000810</v>
      </c>
    </row>
    <row r="1151" customFormat="false" ht="15" hidden="false" customHeight="false" outlineLevel="0" collapsed="false">
      <c r="A1151" s="0" t="n">
        <v>213357</v>
      </c>
      <c r="B1151" s="0" t="n">
        <v>3507415000810</v>
      </c>
    </row>
    <row r="1152" customFormat="false" ht="15" hidden="false" customHeight="false" outlineLevel="0" collapsed="false">
      <c r="A1152" s="0" t="n">
        <v>213365</v>
      </c>
      <c r="B1152" s="0" t="n">
        <v>3507415000810</v>
      </c>
    </row>
    <row r="1153" customFormat="false" ht="15" hidden="false" customHeight="false" outlineLevel="0" collapsed="false">
      <c r="A1153" s="0" t="n">
        <v>213373</v>
      </c>
      <c r="B1153" s="0" t="n">
        <v>3507415000810</v>
      </c>
    </row>
    <row r="1154" customFormat="false" ht="15" hidden="false" customHeight="false" outlineLevel="0" collapsed="false">
      <c r="A1154" s="0" t="n">
        <v>213454</v>
      </c>
      <c r="B1154" s="0" t="s">
        <v>676</v>
      </c>
    </row>
    <row r="1155" customFormat="false" ht="15" hidden="false" customHeight="false" outlineLevel="0" collapsed="false">
      <c r="A1155" s="0" t="n">
        <v>213462</v>
      </c>
      <c r="B1155" s="0" t="s">
        <v>677</v>
      </c>
    </row>
    <row r="1156" customFormat="false" ht="15" hidden="false" customHeight="false" outlineLevel="0" collapsed="false">
      <c r="A1156" s="0" t="n">
        <v>213705</v>
      </c>
      <c r="B1156" s="0" t="n">
        <v>3507415000810</v>
      </c>
    </row>
    <row r="1157" customFormat="false" ht="15" hidden="false" customHeight="false" outlineLevel="0" collapsed="false">
      <c r="A1157" s="0" t="n">
        <v>213713</v>
      </c>
    </row>
    <row r="1158" customFormat="false" ht="15" hidden="false" customHeight="false" outlineLevel="0" collapsed="false">
      <c r="A1158" s="0" t="n">
        <v>213721</v>
      </c>
    </row>
    <row r="1159" customFormat="false" ht="15" hidden="false" customHeight="false" outlineLevel="0" collapsed="false">
      <c r="A1159" s="0" t="n">
        <v>213730</v>
      </c>
      <c r="B1159" s="0" t="n">
        <v>3507415000810</v>
      </c>
    </row>
    <row r="1160" customFormat="false" ht="15" hidden="false" customHeight="false" outlineLevel="0" collapsed="false">
      <c r="A1160" s="0" t="n">
        <v>213799</v>
      </c>
      <c r="B1160" s="0" t="s">
        <v>348</v>
      </c>
    </row>
    <row r="1161" customFormat="false" ht="15" hidden="false" customHeight="false" outlineLevel="0" collapsed="false">
      <c r="A1161" s="0" t="n">
        <v>213810</v>
      </c>
    </row>
    <row r="1162" customFormat="false" ht="15" hidden="false" customHeight="false" outlineLevel="0" collapsed="false">
      <c r="A1162" s="0" t="n">
        <v>214159</v>
      </c>
      <c r="B1162" s="0" t="s">
        <v>678</v>
      </c>
    </row>
    <row r="1163" customFormat="false" ht="15" hidden="false" customHeight="false" outlineLevel="0" collapsed="false">
      <c r="A1163" s="0" t="n">
        <v>214590</v>
      </c>
      <c r="B1163" s="0" t="s">
        <v>679</v>
      </c>
    </row>
    <row r="1164" customFormat="false" ht="15" hidden="false" customHeight="false" outlineLevel="0" collapsed="false">
      <c r="A1164" s="0" t="n">
        <v>214612</v>
      </c>
    </row>
    <row r="1165" customFormat="false" ht="15" hidden="false" customHeight="false" outlineLevel="0" collapsed="false">
      <c r="A1165" s="0" t="n">
        <v>214620</v>
      </c>
    </row>
    <row r="1166" customFormat="false" ht="15" hidden="false" customHeight="false" outlineLevel="0" collapsed="false">
      <c r="A1166" s="0" t="n">
        <v>214639</v>
      </c>
    </row>
    <row r="1167" customFormat="false" ht="15" hidden="false" customHeight="false" outlineLevel="0" collapsed="false">
      <c r="A1167" s="0" t="n">
        <v>214647</v>
      </c>
    </row>
    <row r="1168" customFormat="false" ht="15" hidden="false" customHeight="false" outlineLevel="0" collapsed="false">
      <c r="A1168" s="0" t="n">
        <v>214655</v>
      </c>
    </row>
    <row r="1169" customFormat="false" ht="15" hidden="false" customHeight="false" outlineLevel="0" collapsed="false">
      <c r="A1169" s="0" t="n">
        <v>214663</v>
      </c>
    </row>
    <row r="1170" customFormat="false" ht="15" hidden="false" customHeight="false" outlineLevel="0" collapsed="false">
      <c r="A1170" s="0" t="n">
        <v>214671</v>
      </c>
    </row>
    <row r="1171" customFormat="false" ht="15" hidden="false" customHeight="false" outlineLevel="0" collapsed="false">
      <c r="A1171" s="0" t="n">
        <v>214680</v>
      </c>
    </row>
    <row r="1172" customFormat="false" ht="15" hidden="false" customHeight="false" outlineLevel="0" collapsed="false">
      <c r="A1172" s="0" t="n">
        <v>214698</v>
      </c>
    </row>
    <row r="1173" customFormat="false" ht="15" hidden="false" customHeight="false" outlineLevel="0" collapsed="false">
      <c r="A1173" s="0" t="n">
        <v>214701</v>
      </c>
      <c r="B1173" s="0" t="n">
        <v>3507415000810</v>
      </c>
    </row>
    <row r="1174" customFormat="false" ht="15" hidden="false" customHeight="false" outlineLevel="0" collapsed="false">
      <c r="A1174" s="0" t="n">
        <v>214710</v>
      </c>
    </row>
    <row r="1175" customFormat="false" ht="15" hidden="false" customHeight="false" outlineLevel="0" collapsed="false">
      <c r="A1175" s="0" t="n">
        <v>214728</v>
      </c>
    </row>
    <row r="1176" customFormat="false" ht="15" hidden="false" customHeight="false" outlineLevel="0" collapsed="false">
      <c r="A1176" s="0" t="n">
        <v>214736</v>
      </c>
    </row>
    <row r="1177" customFormat="false" ht="15" hidden="false" customHeight="false" outlineLevel="0" collapsed="false">
      <c r="A1177" s="0" t="n">
        <v>214744</v>
      </c>
    </row>
    <row r="1178" customFormat="false" ht="15" hidden="false" customHeight="false" outlineLevel="0" collapsed="false">
      <c r="A1178" s="0" t="n">
        <v>214752</v>
      </c>
    </row>
    <row r="1179" customFormat="false" ht="15" hidden="false" customHeight="false" outlineLevel="0" collapsed="false">
      <c r="A1179" s="0" t="n">
        <v>214760</v>
      </c>
    </row>
    <row r="1180" customFormat="false" ht="15" hidden="false" customHeight="false" outlineLevel="0" collapsed="false">
      <c r="A1180" s="0" t="n">
        <v>214779</v>
      </c>
    </row>
    <row r="1181" customFormat="false" ht="15" hidden="false" customHeight="false" outlineLevel="0" collapsed="false">
      <c r="A1181" s="0" t="n">
        <v>214787</v>
      </c>
    </row>
    <row r="1182" customFormat="false" ht="15" hidden="false" customHeight="false" outlineLevel="0" collapsed="false">
      <c r="A1182" s="0" t="n">
        <v>214795</v>
      </c>
    </row>
    <row r="1183" customFormat="false" ht="15" hidden="false" customHeight="false" outlineLevel="0" collapsed="false">
      <c r="A1183" s="0" t="n">
        <v>214809</v>
      </c>
    </row>
    <row r="1184" customFormat="false" ht="15" hidden="false" customHeight="false" outlineLevel="0" collapsed="false">
      <c r="A1184" s="0" t="n">
        <v>214817</v>
      </c>
    </row>
    <row r="1185" customFormat="false" ht="15" hidden="false" customHeight="false" outlineLevel="0" collapsed="false">
      <c r="A1185" s="0" t="n">
        <v>214825</v>
      </c>
    </row>
    <row r="1186" customFormat="false" ht="15" hidden="false" customHeight="false" outlineLevel="0" collapsed="false">
      <c r="A1186" s="0" t="n">
        <v>214892</v>
      </c>
      <c r="B1186" s="0" t="s">
        <v>426</v>
      </c>
    </row>
    <row r="1187" customFormat="false" ht="15" hidden="false" customHeight="false" outlineLevel="0" collapsed="false">
      <c r="A1187" s="0" t="n">
        <v>214906</v>
      </c>
    </row>
    <row r="1188" customFormat="false" ht="15" hidden="false" customHeight="false" outlineLevel="0" collapsed="false">
      <c r="A1188" s="0" t="n">
        <v>214914</v>
      </c>
    </row>
    <row r="1189" customFormat="false" ht="15" hidden="false" customHeight="false" outlineLevel="0" collapsed="false">
      <c r="A1189" s="0" t="n">
        <v>214922</v>
      </c>
    </row>
    <row r="1190" customFormat="false" ht="15" hidden="false" customHeight="false" outlineLevel="0" collapsed="false">
      <c r="A1190" s="0" t="n">
        <v>214930</v>
      </c>
    </row>
    <row r="1191" customFormat="false" ht="15" hidden="false" customHeight="false" outlineLevel="0" collapsed="false">
      <c r="A1191" s="0" t="n">
        <v>214949</v>
      </c>
    </row>
    <row r="1192" customFormat="false" ht="15" hidden="false" customHeight="false" outlineLevel="0" collapsed="false">
      <c r="A1192" s="0" t="n">
        <v>214957</v>
      </c>
    </row>
    <row r="1193" customFormat="false" ht="15" hidden="false" customHeight="false" outlineLevel="0" collapsed="false">
      <c r="A1193" s="0" t="n">
        <v>214965</v>
      </c>
    </row>
    <row r="1194" customFormat="false" ht="15" hidden="false" customHeight="false" outlineLevel="0" collapsed="false">
      <c r="A1194" s="0" t="n">
        <v>214981</v>
      </c>
    </row>
    <row r="1195" customFormat="false" ht="15" hidden="false" customHeight="false" outlineLevel="0" collapsed="false">
      <c r="A1195" s="0" t="n">
        <v>214990</v>
      </c>
    </row>
    <row r="1196" customFormat="false" ht="15" hidden="false" customHeight="false" outlineLevel="0" collapsed="false">
      <c r="A1196" s="0" t="n">
        <v>215007</v>
      </c>
    </row>
    <row r="1197" customFormat="false" ht="15" hidden="false" customHeight="false" outlineLevel="0" collapsed="false">
      <c r="A1197" s="0" t="n">
        <v>215015</v>
      </c>
    </row>
    <row r="1198" customFormat="false" ht="15" hidden="false" customHeight="false" outlineLevel="0" collapsed="false">
      <c r="A1198" s="0" t="n">
        <v>215023</v>
      </c>
    </row>
    <row r="1199" customFormat="false" ht="15" hidden="false" customHeight="false" outlineLevel="0" collapsed="false">
      <c r="A1199" s="0" t="n">
        <v>215031</v>
      </c>
    </row>
    <row r="1200" customFormat="false" ht="15" hidden="false" customHeight="false" outlineLevel="0" collapsed="false">
      <c r="A1200" s="0" t="n">
        <v>215040</v>
      </c>
    </row>
    <row r="1201" customFormat="false" ht="15" hidden="false" customHeight="false" outlineLevel="0" collapsed="false">
      <c r="A1201" s="0" t="n">
        <v>215058</v>
      </c>
      <c r="B1201" s="0" t="n">
        <v>2923347000131</v>
      </c>
    </row>
    <row r="1202" customFormat="false" ht="15" hidden="false" customHeight="false" outlineLevel="0" collapsed="false">
      <c r="A1202" s="0" t="n">
        <v>215066</v>
      </c>
    </row>
    <row r="1203" customFormat="false" ht="15" hidden="false" customHeight="false" outlineLevel="0" collapsed="false">
      <c r="A1203" s="0" t="n">
        <v>215074</v>
      </c>
    </row>
    <row r="1204" customFormat="false" ht="15" hidden="false" customHeight="false" outlineLevel="0" collapsed="false">
      <c r="A1204" s="0" t="n">
        <v>215082</v>
      </c>
    </row>
    <row r="1205" customFormat="false" ht="15" hidden="false" customHeight="false" outlineLevel="0" collapsed="false">
      <c r="A1205" s="0" t="n">
        <v>215090</v>
      </c>
    </row>
    <row r="1206" customFormat="false" ht="15" hidden="false" customHeight="false" outlineLevel="0" collapsed="false">
      <c r="A1206" s="0" t="n">
        <v>215104</v>
      </c>
    </row>
    <row r="1207" customFormat="false" ht="15" hidden="false" customHeight="false" outlineLevel="0" collapsed="false">
      <c r="A1207" s="0" t="n">
        <v>215112</v>
      </c>
    </row>
    <row r="1208" customFormat="false" ht="15" hidden="false" customHeight="false" outlineLevel="0" collapsed="false">
      <c r="A1208" s="0" t="n">
        <v>215120</v>
      </c>
    </row>
    <row r="1209" customFormat="false" ht="15" hidden="false" customHeight="false" outlineLevel="0" collapsed="false">
      <c r="A1209" s="0" t="n">
        <v>215139</v>
      </c>
      <c r="B1209" s="0" t="n">
        <v>3264299000180</v>
      </c>
    </row>
    <row r="1210" customFormat="false" ht="15" hidden="false" customHeight="false" outlineLevel="0" collapsed="false">
      <c r="A1210" s="0" t="n">
        <v>215147</v>
      </c>
    </row>
    <row r="1211" customFormat="false" ht="15" hidden="false" customHeight="false" outlineLevel="0" collapsed="false">
      <c r="A1211" s="0" t="n">
        <v>215155</v>
      </c>
    </row>
    <row r="1212" customFormat="false" ht="15" hidden="false" customHeight="false" outlineLevel="0" collapsed="false">
      <c r="A1212" s="0" t="n">
        <v>215163</v>
      </c>
    </row>
    <row r="1213" customFormat="false" ht="15" hidden="false" customHeight="false" outlineLevel="0" collapsed="false">
      <c r="A1213" s="0" t="n">
        <v>215171</v>
      </c>
    </row>
    <row r="1214" customFormat="false" ht="15" hidden="false" customHeight="false" outlineLevel="0" collapsed="false">
      <c r="A1214" s="0" t="n">
        <v>215180</v>
      </c>
    </row>
    <row r="1215" customFormat="false" ht="15" hidden="false" customHeight="false" outlineLevel="0" collapsed="false">
      <c r="A1215" s="0" t="n">
        <v>215198</v>
      </c>
    </row>
    <row r="1216" customFormat="false" ht="15" hidden="false" customHeight="false" outlineLevel="0" collapsed="false">
      <c r="A1216" s="0" t="n">
        <v>215201</v>
      </c>
    </row>
    <row r="1217" customFormat="false" ht="15" hidden="false" customHeight="false" outlineLevel="0" collapsed="false">
      <c r="A1217" s="0" t="n">
        <v>215210</v>
      </c>
      <c r="B1217" s="0" t="n">
        <v>3102716000198</v>
      </c>
    </row>
    <row r="1218" customFormat="false" ht="15" hidden="false" customHeight="false" outlineLevel="0" collapsed="false">
      <c r="A1218" s="0" t="n">
        <v>215228</v>
      </c>
    </row>
    <row r="1219" customFormat="false" ht="15" hidden="false" customHeight="false" outlineLevel="0" collapsed="false">
      <c r="A1219" s="0" t="n">
        <v>215236</v>
      </c>
    </row>
    <row r="1220" customFormat="false" ht="15" hidden="false" customHeight="false" outlineLevel="0" collapsed="false">
      <c r="A1220" s="0" t="n">
        <v>215244</v>
      </c>
    </row>
    <row r="1221" customFormat="false" ht="15" hidden="false" customHeight="false" outlineLevel="0" collapsed="false">
      <c r="A1221" s="0" t="n">
        <v>215252</v>
      </c>
    </row>
    <row r="1222" customFormat="false" ht="15" hidden="false" customHeight="false" outlineLevel="0" collapsed="false">
      <c r="A1222" s="0" t="n">
        <v>215260</v>
      </c>
    </row>
    <row r="1223" customFormat="false" ht="15" hidden="false" customHeight="false" outlineLevel="0" collapsed="false">
      <c r="A1223" s="0" t="n">
        <v>215279</v>
      </c>
    </row>
    <row r="1224" customFormat="false" ht="15" hidden="false" customHeight="false" outlineLevel="0" collapsed="false">
      <c r="A1224" s="0" t="n">
        <v>215287</v>
      </c>
    </row>
    <row r="1225" customFormat="false" ht="15" hidden="false" customHeight="false" outlineLevel="0" collapsed="false">
      <c r="A1225" s="0" t="n">
        <v>215295</v>
      </c>
      <c r="B1225" s="0" t="n">
        <v>3231490000125</v>
      </c>
    </row>
    <row r="1226" customFormat="false" ht="15" hidden="false" customHeight="false" outlineLevel="0" collapsed="false">
      <c r="A1226" s="0" t="n">
        <v>215309</v>
      </c>
    </row>
    <row r="1227" customFormat="false" ht="15" hidden="false" customHeight="false" outlineLevel="0" collapsed="false">
      <c r="A1227" s="0" t="n">
        <v>215317</v>
      </c>
    </row>
    <row r="1228" customFormat="false" ht="15" hidden="false" customHeight="false" outlineLevel="0" collapsed="false">
      <c r="A1228" s="0" t="n">
        <v>215325</v>
      </c>
    </row>
    <row r="1229" customFormat="false" ht="15" hidden="false" customHeight="false" outlineLevel="0" collapsed="false">
      <c r="A1229" s="0" t="n">
        <v>215333</v>
      </c>
    </row>
    <row r="1230" customFormat="false" ht="15" hidden="false" customHeight="false" outlineLevel="0" collapsed="false">
      <c r="A1230" s="0" t="n">
        <v>215341</v>
      </c>
    </row>
    <row r="1231" customFormat="false" ht="15" hidden="false" customHeight="false" outlineLevel="0" collapsed="false">
      <c r="A1231" s="0" t="n">
        <v>215350</v>
      </c>
    </row>
    <row r="1232" customFormat="false" ht="15" hidden="false" customHeight="false" outlineLevel="0" collapsed="false">
      <c r="A1232" s="0" t="n">
        <v>215368</v>
      </c>
    </row>
    <row r="1233" customFormat="false" ht="15" hidden="false" customHeight="false" outlineLevel="0" collapsed="false">
      <c r="A1233" s="0" t="n">
        <v>215376</v>
      </c>
      <c r="B1233" s="0" t="s">
        <v>429</v>
      </c>
    </row>
    <row r="1234" customFormat="false" ht="15" hidden="false" customHeight="false" outlineLevel="0" collapsed="false">
      <c r="A1234" s="0" t="n">
        <v>215384</v>
      </c>
    </row>
    <row r="1235" customFormat="false" ht="15" hidden="false" customHeight="false" outlineLevel="0" collapsed="false">
      <c r="A1235" s="0" t="n">
        <v>215392</v>
      </c>
    </row>
    <row r="1236" customFormat="false" ht="15" hidden="false" customHeight="false" outlineLevel="0" collapsed="false">
      <c r="A1236" s="0" t="n">
        <v>215406</v>
      </c>
    </row>
    <row r="1237" customFormat="false" ht="15" hidden="false" customHeight="false" outlineLevel="0" collapsed="false">
      <c r="A1237" s="0" t="n">
        <v>215414</v>
      </c>
    </row>
    <row r="1238" customFormat="false" ht="15" hidden="false" customHeight="false" outlineLevel="0" collapsed="false">
      <c r="A1238" s="0" t="n">
        <v>215422</v>
      </c>
    </row>
    <row r="1239" customFormat="false" ht="15" hidden="false" customHeight="false" outlineLevel="0" collapsed="false">
      <c r="A1239" s="0" t="n">
        <v>215430</v>
      </c>
    </row>
    <row r="1240" customFormat="false" ht="15" hidden="false" customHeight="false" outlineLevel="0" collapsed="false">
      <c r="A1240" s="0" t="n">
        <v>215449</v>
      </c>
    </row>
    <row r="1241" customFormat="false" ht="15" hidden="false" customHeight="false" outlineLevel="0" collapsed="false">
      <c r="A1241" s="0" t="n">
        <v>215457</v>
      </c>
      <c r="B1241" s="0" t="n">
        <v>2990725000108</v>
      </c>
    </row>
    <row r="1242" customFormat="false" ht="15" hidden="false" customHeight="false" outlineLevel="0" collapsed="false">
      <c r="A1242" s="0" t="n">
        <v>215465</v>
      </c>
    </row>
    <row r="1243" customFormat="false" ht="15" hidden="false" customHeight="false" outlineLevel="0" collapsed="false">
      <c r="A1243" s="0" t="n">
        <v>215473</v>
      </c>
    </row>
    <row r="1244" customFormat="false" ht="15" hidden="false" customHeight="false" outlineLevel="0" collapsed="false">
      <c r="A1244" s="0" t="n">
        <v>215481</v>
      </c>
    </row>
    <row r="1245" customFormat="false" ht="15" hidden="false" customHeight="false" outlineLevel="0" collapsed="false">
      <c r="A1245" s="0" t="n">
        <v>215490</v>
      </c>
    </row>
    <row r="1246" customFormat="false" ht="15" hidden="false" customHeight="false" outlineLevel="0" collapsed="false">
      <c r="A1246" s="0" t="n">
        <v>215503</v>
      </c>
    </row>
    <row r="1247" customFormat="false" ht="15" hidden="false" customHeight="false" outlineLevel="0" collapsed="false">
      <c r="A1247" s="0" t="n">
        <v>215511</v>
      </c>
    </row>
    <row r="1248" customFormat="false" ht="15" hidden="false" customHeight="false" outlineLevel="0" collapsed="false">
      <c r="A1248" s="0" t="n">
        <v>215520</v>
      </c>
    </row>
    <row r="1249" customFormat="false" ht="15" hidden="false" customHeight="false" outlineLevel="0" collapsed="false">
      <c r="A1249" s="0" t="n">
        <v>215538</v>
      </c>
      <c r="B1249" s="0" t="n">
        <v>3186649000137</v>
      </c>
    </row>
    <row r="1250" customFormat="false" ht="15" hidden="false" customHeight="false" outlineLevel="0" collapsed="false">
      <c r="A1250" s="0" t="n">
        <v>215546</v>
      </c>
    </row>
    <row r="1251" customFormat="false" ht="15" hidden="false" customHeight="false" outlineLevel="0" collapsed="false">
      <c r="A1251" s="0" t="n">
        <v>215554</v>
      </c>
    </row>
    <row r="1252" customFormat="false" ht="15" hidden="false" customHeight="false" outlineLevel="0" collapsed="false">
      <c r="A1252" s="0" t="n">
        <v>215562</v>
      </c>
    </row>
    <row r="1253" customFormat="false" ht="15" hidden="false" customHeight="false" outlineLevel="0" collapsed="false">
      <c r="A1253" s="0" t="n">
        <v>215570</v>
      </c>
    </row>
    <row r="1254" customFormat="false" ht="15" hidden="false" customHeight="false" outlineLevel="0" collapsed="false">
      <c r="A1254" s="0" t="n">
        <v>215589</v>
      </c>
    </row>
    <row r="1255" customFormat="false" ht="15" hidden="false" customHeight="false" outlineLevel="0" collapsed="false">
      <c r="A1255" s="0" t="n">
        <v>215597</v>
      </c>
    </row>
    <row r="1256" customFormat="false" ht="15" hidden="false" customHeight="false" outlineLevel="0" collapsed="false">
      <c r="A1256" s="0" t="n">
        <v>215600</v>
      </c>
    </row>
    <row r="1257" customFormat="false" ht="15" hidden="false" customHeight="false" outlineLevel="0" collapsed="false">
      <c r="A1257" s="0" t="n">
        <v>215619</v>
      </c>
      <c r="B1257" s="0" t="s">
        <v>569</v>
      </c>
    </row>
    <row r="1258" customFormat="false" ht="15" hidden="false" customHeight="false" outlineLevel="0" collapsed="false">
      <c r="A1258" s="0" t="n">
        <v>215627</v>
      </c>
    </row>
    <row r="1259" customFormat="false" ht="15" hidden="false" customHeight="false" outlineLevel="0" collapsed="false">
      <c r="A1259" s="0" t="n">
        <v>215635</v>
      </c>
    </row>
    <row r="1260" customFormat="false" ht="15" hidden="false" customHeight="false" outlineLevel="0" collapsed="false">
      <c r="A1260" s="0" t="n">
        <v>215643</v>
      </c>
    </row>
    <row r="1261" customFormat="false" ht="15" hidden="false" customHeight="false" outlineLevel="0" collapsed="false">
      <c r="A1261" s="0" t="n">
        <v>215651</v>
      </c>
    </row>
    <row r="1262" customFormat="false" ht="15" hidden="false" customHeight="false" outlineLevel="0" collapsed="false">
      <c r="A1262" s="0" t="n">
        <v>215660</v>
      </c>
    </row>
    <row r="1263" customFormat="false" ht="15" hidden="false" customHeight="false" outlineLevel="0" collapsed="false">
      <c r="A1263" s="0" t="n">
        <v>215678</v>
      </c>
    </row>
    <row r="1264" customFormat="false" ht="15" hidden="false" customHeight="false" outlineLevel="0" collapsed="false">
      <c r="A1264" s="0" t="n">
        <v>215686</v>
      </c>
    </row>
    <row r="1265" customFormat="false" ht="15" hidden="false" customHeight="false" outlineLevel="0" collapsed="false">
      <c r="A1265" s="0" t="n">
        <v>215694</v>
      </c>
      <c r="B1265" s="0" t="n">
        <v>8145959000127</v>
      </c>
    </row>
    <row r="1266" customFormat="false" ht="15" hidden="false" customHeight="false" outlineLevel="0" collapsed="false">
      <c r="A1266" s="0" t="n">
        <v>215708</v>
      </c>
    </row>
    <row r="1267" customFormat="false" ht="15" hidden="false" customHeight="false" outlineLevel="0" collapsed="false">
      <c r="A1267" s="0" t="n">
        <v>215716</v>
      </c>
    </row>
    <row r="1268" customFormat="false" ht="15" hidden="false" customHeight="false" outlineLevel="0" collapsed="false">
      <c r="A1268" s="0" t="n">
        <v>215724</v>
      </c>
    </row>
    <row r="1269" customFormat="false" ht="15" hidden="false" customHeight="false" outlineLevel="0" collapsed="false">
      <c r="A1269" s="0" t="n">
        <v>215732</v>
      </c>
    </row>
    <row r="1270" customFormat="false" ht="15" hidden="false" customHeight="false" outlineLevel="0" collapsed="false">
      <c r="A1270" s="0" t="n">
        <v>215740</v>
      </c>
    </row>
    <row r="1271" customFormat="false" ht="15" hidden="false" customHeight="false" outlineLevel="0" collapsed="false">
      <c r="A1271" s="0" t="n">
        <v>215759</v>
      </c>
    </row>
    <row r="1272" customFormat="false" ht="15" hidden="false" customHeight="false" outlineLevel="0" collapsed="false">
      <c r="A1272" s="0" t="n">
        <v>215767</v>
      </c>
    </row>
    <row r="1273" customFormat="false" ht="15" hidden="false" customHeight="false" outlineLevel="0" collapsed="false">
      <c r="A1273" s="0" t="n">
        <v>215775</v>
      </c>
      <c r="B1273" s="0" t="n">
        <v>3118597000161</v>
      </c>
    </row>
    <row r="1274" customFormat="false" ht="15" hidden="false" customHeight="false" outlineLevel="0" collapsed="false">
      <c r="A1274" s="0" t="n">
        <v>215783</v>
      </c>
    </row>
    <row r="1275" customFormat="false" ht="15" hidden="false" customHeight="false" outlineLevel="0" collapsed="false">
      <c r="A1275" s="0" t="n">
        <v>215791</v>
      </c>
    </row>
    <row r="1276" customFormat="false" ht="15" hidden="false" customHeight="false" outlineLevel="0" collapsed="false">
      <c r="A1276" s="0" t="n">
        <v>215805</v>
      </c>
    </row>
    <row r="1277" customFormat="false" ht="15" hidden="false" customHeight="false" outlineLevel="0" collapsed="false">
      <c r="A1277" s="0" t="n">
        <v>215813</v>
      </c>
    </row>
    <row r="1278" customFormat="false" ht="15" hidden="false" customHeight="false" outlineLevel="0" collapsed="false">
      <c r="A1278" s="0" t="n">
        <v>215821</v>
      </c>
    </row>
    <row r="1279" customFormat="false" ht="15" hidden="false" customHeight="false" outlineLevel="0" collapsed="false">
      <c r="A1279" s="0" t="n">
        <v>215830</v>
      </c>
    </row>
    <row r="1280" customFormat="false" ht="15" hidden="false" customHeight="false" outlineLevel="0" collapsed="false">
      <c r="A1280" s="0" t="n">
        <v>215848</v>
      </c>
    </row>
    <row r="1281" customFormat="false" ht="15" hidden="false" customHeight="false" outlineLevel="0" collapsed="false">
      <c r="A1281" s="0" t="n">
        <v>215856</v>
      </c>
      <c r="B1281" s="0" t="n">
        <v>3204985000165</v>
      </c>
    </row>
    <row r="1282" customFormat="false" ht="15" hidden="false" customHeight="false" outlineLevel="0" collapsed="false">
      <c r="A1282" s="0" t="n">
        <v>215864</v>
      </c>
    </row>
    <row r="1283" customFormat="false" ht="15" hidden="false" customHeight="false" outlineLevel="0" collapsed="false">
      <c r="A1283" s="0" t="n">
        <v>215872</v>
      </c>
    </row>
    <row r="1284" customFormat="false" ht="15" hidden="false" customHeight="false" outlineLevel="0" collapsed="false">
      <c r="A1284" s="0" t="n">
        <v>215880</v>
      </c>
    </row>
    <row r="1285" customFormat="false" ht="15" hidden="false" customHeight="false" outlineLevel="0" collapsed="false">
      <c r="A1285" s="0" t="n">
        <v>215899</v>
      </c>
    </row>
    <row r="1286" customFormat="false" ht="15" hidden="false" customHeight="false" outlineLevel="0" collapsed="false">
      <c r="A1286" s="0" t="n">
        <v>215902</v>
      </c>
    </row>
    <row r="1287" customFormat="false" ht="15" hidden="false" customHeight="false" outlineLevel="0" collapsed="false">
      <c r="A1287" s="0" t="n">
        <v>215910</v>
      </c>
    </row>
    <row r="1288" customFormat="false" ht="15" hidden="false" customHeight="false" outlineLevel="0" collapsed="false">
      <c r="A1288" s="0" t="n">
        <v>215929</v>
      </c>
    </row>
    <row r="1289" customFormat="false" ht="15" hidden="false" customHeight="false" outlineLevel="0" collapsed="false">
      <c r="A1289" s="0" t="n">
        <v>215937</v>
      </c>
      <c r="B1289" s="0" t="s">
        <v>570</v>
      </c>
    </row>
    <row r="1290" customFormat="false" ht="15" hidden="false" customHeight="false" outlineLevel="0" collapsed="false">
      <c r="A1290" s="0" t="n">
        <v>215945</v>
      </c>
    </row>
    <row r="1291" customFormat="false" ht="15" hidden="false" customHeight="false" outlineLevel="0" collapsed="false">
      <c r="A1291" s="0" t="n">
        <v>215953</v>
      </c>
    </row>
    <row r="1292" customFormat="false" ht="15" hidden="false" customHeight="false" outlineLevel="0" collapsed="false">
      <c r="A1292" s="0" t="n">
        <v>215961</v>
      </c>
    </row>
    <row r="1293" customFormat="false" ht="15" hidden="false" customHeight="false" outlineLevel="0" collapsed="false">
      <c r="A1293" s="0" t="n">
        <v>215970</v>
      </c>
    </row>
    <row r="1294" customFormat="false" ht="15" hidden="false" customHeight="false" outlineLevel="0" collapsed="false">
      <c r="A1294" s="0" t="n">
        <v>215988</v>
      </c>
    </row>
    <row r="1295" customFormat="false" ht="15" hidden="false" customHeight="false" outlineLevel="0" collapsed="false">
      <c r="A1295" s="0" t="n">
        <v>215996</v>
      </c>
    </row>
    <row r="1296" customFormat="false" ht="15" hidden="false" customHeight="false" outlineLevel="0" collapsed="false">
      <c r="A1296" s="0" t="n">
        <v>216003</v>
      </c>
    </row>
    <row r="1297" customFormat="false" ht="15" hidden="false" customHeight="false" outlineLevel="0" collapsed="false">
      <c r="A1297" s="0" t="n">
        <v>216011</v>
      </c>
    </row>
    <row r="1298" customFormat="false" ht="15" hidden="false" customHeight="false" outlineLevel="0" collapsed="false">
      <c r="A1298" s="0" t="n">
        <v>216020</v>
      </c>
    </row>
    <row r="1299" customFormat="false" ht="15" hidden="false" customHeight="false" outlineLevel="0" collapsed="false">
      <c r="A1299" s="0" t="n">
        <v>216038</v>
      </c>
    </row>
    <row r="1300" customFormat="false" ht="15" hidden="false" customHeight="false" outlineLevel="0" collapsed="false">
      <c r="A1300" s="0" t="n">
        <v>216046</v>
      </c>
    </row>
    <row r="1301" customFormat="false" ht="15" hidden="false" customHeight="false" outlineLevel="0" collapsed="false">
      <c r="A1301" s="0" t="n">
        <v>216054</v>
      </c>
    </row>
    <row r="1302" customFormat="false" ht="15" hidden="false" customHeight="false" outlineLevel="0" collapsed="false">
      <c r="A1302" s="0" t="n">
        <v>216062</v>
      </c>
    </row>
    <row r="1303" customFormat="false" ht="15" hidden="false" customHeight="false" outlineLevel="0" collapsed="false">
      <c r="A1303" s="0" t="n">
        <v>216070</v>
      </c>
    </row>
    <row r="1304" customFormat="false" ht="15" hidden="false" customHeight="false" outlineLevel="0" collapsed="false">
      <c r="A1304" s="0" t="n">
        <v>216089</v>
      </c>
    </row>
    <row r="1305" customFormat="false" ht="15" hidden="false" customHeight="false" outlineLevel="0" collapsed="false">
      <c r="A1305" s="0" t="n">
        <v>222461</v>
      </c>
    </row>
    <row r="1306" customFormat="false" ht="15" hidden="false" customHeight="false" outlineLevel="0" collapsed="false">
      <c r="A1306" s="0" t="n">
        <v>222470</v>
      </c>
    </row>
    <row r="1307" customFormat="false" ht="15" hidden="false" customHeight="false" outlineLevel="0" collapsed="false">
      <c r="A1307" s="0" t="n">
        <v>222488</v>
      </c>
    </row>
    <row r="1308" customFormat="false" ht="15" hidden="false" customHeight="false" outlineLevel="0" collapsed="false">
      <c r="A1308" s="0" t="n">
        <v>222496</v>
      </c>
    </row>
    <row r="1309" customFormat="false" ht="15" hidden="false" customHeight="false" outlineLevel="0" collapsed="false">
      <c r="A1309" s="0" t="n">
        <v>225231</v>
      </c>
    </row>
    <row r="1310" customFormat="false" ht="15" hidden="false" customHeight="false" outlineLevel="0" collapsed="false">
      <c r="A1310" s="0" t="n">
        <v>225240</v>
      </c>
    </row>
    <row r="1311" customFormat="false" ht="15" hidden="false" customHeight="false" outlineLevel="0" collapsed="false">
      <c r="A1311" s="0" t="n">
        <v>225258</v>
      </c>
    </row>
    <row r="1312" customFormat="false" ht="15" hidden="false" customHeight="false" outlineLevel="0" collapsed="false">
      <c r="A1312" s="0" t="n">
        <v>225266</v>
      </c>
    </row>
    <row r="1313" customFormat="false" ht="15" hidden="false" customHeight="false" outlineLevel="0" collapsed="false">
      <c r="A1313" s="0" t="n">
        <v>225274</v>
      </c>
    </row>
    <row r="1314" customFormat="false" ht="15" hidden="false" customHeight="false" outlineLevel="0" collapsed="false">
      <c r="A1314" s="0" t="n">
        <v>225282</v>
      </c>
    </row>
    <row r="1315" customFormat="false" ht="15" hidden="false" customHeight="false" outlineLevel="0" collapsed="false">
      <c r="A1315" s="0" t="n">
        <v>225290</v>
      </c>
    </row>
    <row r="1316" customFormat="false" ht="15" hidden="false" customHeight="false" outlineLevel="0" collapsed="false">
      <c r="A1316" s="0" t="n">
        <v>225304</v>
      </c>
    </row>
    <row r="1317" customFormat="false" ht="15" hidden="false" customHeight="false" outlineLevel="0" collapsed="false">
      <c r="A1317" s="0" t="n">
        <v>225312</v>
      </c>
    </row>
    <row r="1318" customFormat="false" ht="15" hidden="false" customHeight="false" outlineLevel="0" collapsed="false">
      <c r="A1318" s="0" t="n">
        <v>225320</v>
      </c>
    </row>
    <row r="1319" customFormat="false" ht="15" hidden="false" customHeight="false" outlineLevel="0" collapsed="false">
      <c r="A1319" s="0" t="n">
        <v>225339</v>
      </c>
    </row>
    <row r="1320" customFormat="false" ht="15" hidden="false" customHeight="false" outlineLevel="0" collapsed="false">
      <c r="A1320" s="0" t="n">
        <v>225347</v>
      </c>
    </row>
    <row r="1321" customFormat="false" ht="15" hidden="false" customHeight="false" outlineLevel="0" collapsed="false">
      <c r="A1321" s="0" t="n">
        <v>225355</v>
      </c>
    </row>
    <row r="1322" customFormat="false" ht="15" hidden="false" customHeight="false" outlineLevel="0" collapsed="false">
      <c r="A1322" s="0" t="n">
        <v>225363</v>
      </c>
    </row>
    <row r="1323" customFormat="false" ht="15" hidden="false" customHeight="false" outlineLevel="0" collapsed="false">
      <c r="A1323" s="0" t="n">
        <v>225371</v>
      </c>
    </row>
    <row r="1324" customFormat="false" ht="15" hidden="false" customHeight="false" outlineLevel="0" collapsed="false">
      <c r="A1324" s="0" t="n">
        <v>225380</v>
      </c>
    </row>
    <row r="1325" customFormat="false" ht="15" hidden="false" customHeight="false" outlineLevel="0" collapsed="false">
      <c r="A1325" s="0" t="n">
        <v>225398</v>
      </c>
    </row>
    <row r="1326" customFormat="false" ht="15" hidden="false" customHeight="false" outlineLevel="0" collapsed="false">
      <c r="A1326" s="0" t="n">
        <v>225401</v>
      </c>
    </row>
    <row r="1327" customFormat="false" ht="15" hidden="false" customHeight="false" outlineLevel="0" collapsed="false">
      <c r="A1327" s="0" t="n">
        <v>225428</v>
      </c>
    </row>
    <row r="1328" customFormat="false" ht="15" hidden="false" customHeight="false" outlineLevel="0" collapsed="false">
      <c r="A1328" s="0" t="n">
        <v>225439</v>
      </c>
    </row>
    <row r="1329" customFormat="false" ht="15" hidden="false" customHeight="false" outlineLevel="0" collapsed="false">
      <c r="A1329" s="0" t="n">
        <v>225444</v>
      </c>
    </row>
    <row r="1330" customFormat="false" ht="15" hidden="false" customHeight="false" outlineLevel="0" collapsed="false">
      <c r="A1330" s="0" t="n">
        <v>225452</v>
      </c>
    </row>
    <row r="1331" customFormat="false" ht="15" hidden="false" customHeight="false" outlineLevel="0" collapsed="false">
      <c r="A1331" s="0" t="n">
        <v>225460</v>
      </c>
    </row>
    <row r="1332" customFormat="false" ht="15" hidden="false" customHeight="false" outlineLevel="0" collapsed="false">
      <c r="A1332" s="0" t="n">
        <v>225479</v>
      </c>
    </row>
    <row r="1333" customFormat="false" ht="15" hidden="false" customHeight="false" outlineLevel="0" collapsed="false">
      <c r="A1333" s="0" t="n">
        <v>225487</v>
      </c>
    </row>
    <row r="1334" customFormat="false" ht="15" hidden="false" customHeight="false" outlineLevel="0" collapsed="false">
      <c r="A1334" s="0" t="n">
        <v>225495</v>
      </c>
    </row>
    <row r="1335" customFormat="false" ht="15" hidden="false" customHeight="false" outlineLevel="0" collapsed="false">
      <c r="A1335" s="0" t="n">
        <v>225509</v>
      </c>
    </row>
    <row r="1336" customFormat="false" ht="15" hidden="false" customHeight="false" outlineLevel="0" collapsed="false">
      <c r="A1336" s="0" t="n">
        <v>225517</v>
      </c>
    </row>
    <row r="1337" customFormat="false" ht="15" hidden="false" customHeight="false" outlineLevel="0" collapsed="false">
      <c r="A1337" s="0" t="n">
        <v>225525</v>
      </c>
    </row>
    <row r="1338" customFormat="false" ht="15" hidden="false" customHeight="false" outlineLevel="0" collapsed="false">
      <c r="A1338" s="0" t="n">
        <v>225533</v>
      </c>
    </row>
    <row r="1339" customFormat="false" ht="15" hidden="false" customHeight="false" outlineLevel="0" collapsed="false">
      <c r="A1339" s="0" t="n">
        <v>225541</v>
      </c>
    </row>
    <row r="1340" customFormat="false" ht="15" hidden="false" customHeight="false" outlineLevel="0" collapsed="false">
      <c r="A1340" s="0" t="n">
        <v>225550</v>
      </c>
    </row>
    <row r="1341" customFormat="false" ht="15" hidden="false" customHeight="false" outlineLevel="0" collapsed="false">
      <c r="A1341" s="0" t="n">
        <v>225568</v>
      </c>
    </row>
    <row r="1342" customFormat="false" ht="15" hidden="false" customHeight="false" outlineLevel="0" collapsed="false">
      <c r="A1342" s="0" t="n">
        <v>225576</v>
      </c>
    </row>
    <row r="1343" customFormat="false" ht="15" hidden="false" customHeight="false" outlineLevel="0" collapsed="false">
      <c r="A1343" s="0" t="n">
        <v>225584</v>
      </c>
    </row>
    <row r="1344" customFormat="false" ht="15" hidden="false" customHeight="false" outlineLevel="0" collapsed="false">
      <c r="A1344" s="0" t="n">
        <v>225592</v>
      </c>
    </row>
    <row r="1345" customFormat="false" ht="15" hidden="false" customHeight="false" outlineLevel="0" collapsed="false">
      <c r="A1345" s="0" t="n">
        <v>225606</v>
      </c>
    </row>
    <row r="1346" customFormat="false" ht="15" hidden="false" customHeight="false" outlineLevel="0" collapsed="false">
      <c r="A1346" s="0" t="n">
        <v>225614</v>
      </c>
    </row>
    <row r="1347" customFormat="false" ht="15" hidden="false" customHeight="false" outlineLevel="0" collapsed="false">
      <c r="A1347" s="0" t="n">
        <v>225622</v>
      </c>
    </row>
    <row r="1348" customFormat="false" ht="15" hidden="false" customHeight="false" outlineLevel="0" collapsed="false">
      <c r="A1348" s="0" t="n">
        <v>225630</v>
      </c>
    </row>
    <row r="1349" customFormat="false" ht="15" hidden="false" customHeight="false" outlineLevel="0" collapsed="false">
      <c r="A1349" s="0" t="n">
        <v>912441</v>
      </c>
      <c r="B1349" s="0" t="n">
        <v>53291992000110</v>
      </c>
    </row>
    <row r="1350" customFormat="false" ht="15" hidden="false" customHeight="false" outlineLevel="0" collapsed="false">
      <c r="A1350" s="0" t="n">
        <v>912450</v>
      </c>
      <c r="B1350" s="0" t="n">
        <v>53291992000110</v>
      </c>
    </row>
    <row r="1351" customFormat="false" ht="15" hidden="false" customHeight="false" outlineLevel="0" collapsed="false">
      <c r="A1351" s="0" t="n">
        <v>912468</v>
      </c>
      <c r="B1351" s="0" t="n">
        <v>53291992000110</v>
      </c>
    </row>
    <row r="1352" customFormat="false" ht="15" hidden="false" customHeight="false" outlineLevel="0" collapsed="false">
      <c r="A1352" s="0" t="n">
        <v>912484</v>
      </c>
      <c r="B1352" s="0" t="n">
        <v>53291992000110</v>
      </c>
    </row>
    <row r="1353" customFormat="false" ht="15" hidden="false" customHeight="false" outlineLevel="0" collapsed="false">
      <c r="A1353" s="0" t="n">
        <v>912492</v>
      </c>
      <c r="B1353" s="0" t="n">
        <v>53291992000110</v>
      </c>
    </row>
    <row r="1354" customFormat="false" ht="15" hidden="false" customHeight="false" outlineLevel="0" collapsed="false">
      <c r="A1354" s="0" t="n">
        <v>912506</v>
      </c>
      <c r="B1354" s="0" t="n">
        <v>53291992000110</v>
      </c>
    </row>
    <row r="1355" customFormat="false" ht="15" hidden="false" customHeight="false" outlineLevel="0" collapsed="false">
      <c r="A1355" s="0" t="n">
        <v>912530</v>
      </c>
      <c r="B1355" s="0" t="n">
        <v>53291992000110</v>
      </c>
    </row>
    <row r="1356" customFormat="false" ht="15" hidden="false" customHeight="false" outlineLevel="0" collapsed="false">
      <c r="A1356" s="0" t="n">
        <v>912549</v>
      </c>
      <c r="B1356" s="0" t="n">
        <v>53291992000110</v>
      </c>
    </row>
    <row r="1357" customFormat="false" ht="15" hidden="false" customHeight="false" outlineLevel="0" collapsed="false">
      <c r="A1357" s="0" t="n">
        <v>912565</v>
      </c>
      <c r="B1357" s="0" t="n">
        <v>53291992000110</v>
      </c>
    </row>
    <row r="1358" customFormat="false" ht="15" hidden="false" customHeight="false" outlineLevel="0" collapsed="false">
      <c r="A1358" s="0" t="n">
        <v>912573</v>
      </c>
      <c r="B1358" s="0" t="n">
        <v>53291992000110</v>
      </c>
    </row>
    <row r="1359" customFormat="false" ht="15" hidden="false" customHeight="false" outlineLevel="0" collapsed="false">
      <c r="A1359" s="0" t="n">
        <v>912590</v>
      </c>
      <c r="B1359" s="0" t="n">
        <v>53291992000110</v>
      </c>
    </row>
    <row r="1360" customFormat="false" ht="15" hidden="false" customHeight="false" outlineLevel="0" collapsed="false">
      <c r="A1360" s="0" t="n">
        <v>912620</v>
      </c>
      <c r="B1360" s="0" t="n">
        <v>53291992000110</v>
      </c>
    </row>
    <row r="1361" customFormat="false" ht="15" hidden="false" customHeight="false" outlineLevel="0" collapsed="false">
      <c r="A1361" s="0" t="n">
        <v>912654</v>
      </c>
      <c r="B1361" s="0" t="n">
        <v>53291992000110</v>
      </c>
    </row>
    <row r="1362" customFormat="false" ht="15" hidden="false" customHeight="false" outlineLevel="0" collapsed="false">
      <c r="A1362" s="0" t="n">
        <v>912670</v>
      </c>
      <c r="B1362" s="0" t="n">
        <v>53291992000110</v>
      </c>
    </row>
    <row r="1363" customFormat="false" ht="15" hidden="false" customHeight="false" outlineLevel="0" collapsed="false">
      <c r="A1363" s="0" t="n">
        <v>912689</v>
      </c>
      <c r="B1363" s="0" t="n">
        <v>53291992000110</v>
      </c>
    </row>
    <row r="1364" customFormat="false" ht="15" hidden="false" customHeight="false" outlineLevel="0" collapsed="false">
      <c r="A1364" s="0" t="n">
        <v>912697</v>
      </c>
      <c r="B1364" s="0" t="n">
        <v>53291992000110</v>
      </c>
    </row>
    <row r="1365" customFormat="false" ht="15" hidden="false" customHeight="false" outlineLevel="0" collapsed="false">
      <c r="A1365" s="0" t="n">
        <v>912700</v>
      </c>
      <c r="B1365" s="0" t="n">
        <v>53291992000110</v>
      </c>
    </row>
    <row r="1366" customFormat="false" ht="15" hidden="false" customHeight="false" outlineLevel="0" collapsed="false">
      <c r="A1366" s="0" t="n">
        <v>912719</v>
      </c>
      <c r="B1366" s="0" t="n">
        <v>53291992000110</v>
      </c>
    </row>
    <row r="1367" customFormat="false" ht="15" hidden="false" customHeight="false" outlineLevel="0" collapsed="false">
      <c r="A1367" s="0" t="n">
        <v>912727</v>
      </c>
      <c r="B1367" s="0" t="n">
        <v>53291992000110</v>
      </c>
    </row>
    <row r="1368" customFormat="false" ht="15" hidden="false" customHeight="false" outlineLevel="0" collapsed="false">
      <c r="A1368" s="0" t="n">
        <v>912743</v>
      </c>
      <c r="B1368" s="0" t="n">
        <v>53291992000110</v>
      </c>
    </row>
    <row r="1369" customFormat="false" ht="15" hidden="false" customHeight="false" outlineLevel="0" collapsed="false">
      <c r="A1369" s="0" t="n">
        <v>912751</v>
      </c>
      <c r="B1369" s="0" t="n">
        <v>53291992000110</v>
      </c>
    </row>
    <row r="1370" customFormat="false" ht="15" hidden="false" customHeight="false" outlineLevel="0" collapsed="false">
      <c r="A1370" s="0" t="n">
        <v>912760</v>
      </c>
      <c r="B1370" s="0" t="n">
        <v>53291992000110</v>
      </c>
    </row>
    <row r="1371" customFormat="false" ht="15" hidden="false" customHeight="false" outlineLevel="0" collapsed="false">
      <c r="A1371" s="0" t="n">
        <v>912778</v>
      </c>
      <c r="B1371" s="0" t="n">
        <v>53291992000110</v>
      </c>
    </row>
    <row r="1372" customFormat="false" ht="15" hidden="false" customHeight="false" outlineLevel="0" collapsed="false">
      <c r="A1372" s="0" t="n">
        <v>912786</v>
      </c>
      <c r="B1372" s="0" t="n">
        <v>53291992000110</v>
      </c>
    </row>
    <row r="1373" customFormat="false" ht="15" hidden="false" customHeight="false" outlineLevel="0" collapsed="false">
      <c r="A1373" s="0" t="n">
        <v>912794</v>
      </c>
      <c r="B1373" s="0" t="n">
        <v>53291992000110</v>
      </c>
    </row>
    <row r="1374" customFormat="false" ht="15" hidden="false" customHeight="false" outlineLevel="0" collapsed="false">
      <c r="A1374" s="0" t="n">
        <v>912808</v>
      </c>
      <c r="B1374" s="0" t="n">
        <v>53291992000110</v>
      </c>
    </row>
    <row r="1375" customFormat="false" ht="15" hidden="false" customHeight="false" outlineLevel="0" collapsed="false">
      <c r="A1375" s="0" t="n">
        <v>912816</v>
      </c>
      <c r="B1375" s="0" t="n">
        <v>53291992000110</v>
      </c>
    </row>
    <row r="1376" customFormat="false" ht="15" hidden="false" customHeight="false" outlineLevel="0" collapsed="false">
      <c r="A1376" s="0" t="n">
        <v>912824</v>
      </c>
      <c r="B1376" s="0" t="n">
        <v>53291992000110</v>
      </c>
    </row>
    <row r="1377" customFormat="false" ht="15" hidden="false" customHeight="false" outlineLevel="0" collapsed="false">
      <c r="A1377" s="0" t="n">
        <v>912832</v>
      </c>
      <c r="B1377" s="0" t="n">
        <v>53291992000110</v>
      </c>
    </row>
    <row r="1378" customFormat="false" ht="15" hidden="false" customHeight="false" outlineLevel="0" collapsed="false">
      <c r="A1378" s="0" t="n">
        <v>912948</v>
      </c>
      <c r="B1378" s="0" t="n">
        <v>53291992000110</v>
      </c>
    </row>
    <row r="1379" customFormat="false" ht="15" hidden="false" customHeight="false" outlineLevel="0" collapsed="false">
      <c r="A1379" s="0" t="n">
        <v>913138</v>
      </c>
      <c r="B1379" s="0" t="n">
        <v>53291992000110</v>
      </c>
    </row>
    <row r="1380" customFormat="false" ht="15" hidden="false" customHeight="false" outlineLevel="0" collapsed="false">
      <c r="A1380" s="0" t="n">
        <v>913154</v>
      </c>
      <c r="B1380" s="0" t="n">
        <v>53291992000110</v>
      </c>
    </row>
    <row r="1381" customFormat="false" ht="15" hidden="false" customHeight="false" outlineLevel="0" collapsed="false">
      <c r="A1381" s="0" t="n">
        <v>913189</v>
      </c>
      <c r="B1381" s="0" t="n">
        <v>53291992000110</v>
      </c>
    </row>
    <row r="1382" customFormat="false" ht="15" hidden="false" customHeight="false" outlineLevel="0" collapsed="false">
      <c r="A1382" s="0" t="n">
        <v>913227</v>
      </c>
      <c r="B1382" s="0" t="n">
        <v>53291992000110</v>
      </c>
    </row>
    <row r="1383" customFormat="false" ht="15" hidden="false" customHeight="false" outlineLevel="0" collapsed="false">
      <c r="A1383" s="0" t="n">
        <v>913251</v>
      </c>
      <c r="B1383" s="0" t="n">
        <v>53291992000110</v>
      </c>
    </row>
    <row r="1384" customFormat="false" ht="15" hidden="false" customHeight="false" outlineLevel="0" collapsed="false">
      <c r="A1384" s="0" t="n">
        <v>913278</v>
      </c>
      <c r="B1384" s="0" t="s">
        <v>426</v>
      </c>
    </row>
    <row r="1385" customFormat="false" ht="15" hidden="false" customHeight="false" outlineLevel="0" collapsed="false">
      <c r="A1385" s="0" t="n">
        <v>913316</v>
      </c>
      <c r="B1385" s="0" t="s">
        <v>426</v>
      </c>
    </row>
    <row r="1386" customFormat="false" ht="15" hidden="false" customHeight="false" outlineLevel="0" collapsed="false">
      <c r="A1386" s="0" t="n">
        <v>913359</v>
      </c>
      <c r="B1386" s="0" t="s">
        <v>426</v>
      </c>
    </row>
    <row r="1387" customFormat="false" ht="15" hidden="false" customHeight="false" outlineLevel="0" collapsed="false">
      <c r="A1387" s="0" t="n">
        <v>913383</v>
      </c>
      <c r="B1387" s="0" t="s">
        <v>426</v>
      </c>
    </row>
    <row r="1388" customFormat="false" ht="15" hidden="false" customHeight="false" outlineLevel="0" collapsed="false">
      <c r="A1388" s="0" t="n">
        <v>913413</v>
      </c>
      <c r="B1388" s="0" t="s">
        <v>426</v>
      </c>
    </row>
    <row r="1389" customFormat="false" ht="15" hidden="false" customHeight="false" outlineLevel="0" collapsed="false">
      <c r="A1389" s="0" t="n">
        <v>913499</v>
      </c>
      <c r="B1389" s="0" t="s">
        <v>426</v>
      </c>
    </row>
    <row r="1390" customFormat="false" ht="15" hidden="false" customHeight="false" outlineLevel="0" collapsed="false">
      <c r="A1390" s="0" t="n">
        <v>913553</v>
      </c>
      <c r="B1390" s="0" t="n">
        <v>2923347000131</v>
      </c>
    </row>
    <row r="1391" customFormat="false" ht="15" hidden="false" customHeight="false" outlineLevel="0" collapsed="false">
      <c r="A1391" s="0" t="n">
        <v>913600</v>
      </c>
      <c r="B1391" s="0" t="n">
        <v>2923347000131</v>
      </c>
    </row>
    <row r="1392" customFormat="false" ht="15" hidden="false" customHeight="false" outlineLevel="0" collapsed="false">
      <c r="A1392" s="0" t="n">
        <v>913669</v>
      </c>
      <c r="B1392" s="0" t="n">
        <v>2923347000131</v>
      </c>
    </row>
    <row r="1393" customFormat="false" ht="15" hidden="false" customHeight="false" outlineLevel="0" collapsed="false">
      <c r="A1393" s="0" t="n">
        <v>913693</v>
      </c>
      <c r="B1393" s="0" t="n">
        <v>3264299000180</v>
      </c>
    </row>
    <row r="1394" customFormat="false" ht="15" hidden="false" customHeight="false" outlineLevel="0" collapsed="false">
      <c r="A1394" s="0" t="n">
        <v>913707</v>
      </c>
      <c r="B1394" s="0" t="n">
        <v>3264299000180</v>
      </c>
    </row>
    <row r="1395" customFormat="false" ht="15" hidden="false" customHeight="false" outlineLevel="0" collapsed="false">
      <c r="A1395" s="0" t="n">
        <v>913723</v>
      </c>
      <c r="B1395" s="0" t="n">
        <v>3264299000180</v>
      </c>
    </row>
    <row r="1396" customFormat="false" ht="15" hidden="false" customHeight="false" outlineLevel="0" collapsed="false">
      <c r="A1396" s="0" t="n">
        <v>913758</v>
      </c>
      <c r="B1396" s="0" t="n">
        <v>3102716000198</v>
      </c>
    </row>
    <row r="1397" customFormat="false" ht="15" hidden="false" customHeight="false" outlineLevel="0" collapsed="false">
      <c r="A1397" s="0" t="n">
        <v>913774</v>
      </c>
      <c r="B1397" s="0" t="n">
        <v>3102716000198</v>
      </c>
    </row>
    <row r="1398" customFormat="false" ht="15" hidden="false" customHeight="false" outlineLevel="0" collapsed="false">
      <c r="A1398" s="0" t="n">
        <v>913790</v>
      </c>
      <c r="B1398" s="0" t="n">
        <v>3102716000198</v>
      </c>
    </row>
    <row r="1399" customFormat="false" ht="15" hidden="false" customHeight="false" outlineLevel="0" collapsed="false">
      <c r="A1399" s="0" t="n">
        <v>913812</v>
      </c>
      <c r="B1399" s="0" t="n">
        <v>3231490000125</v>
      </c>
    </row>
    <row r="1400" customFormat="false" ht="15" hidden="false" customHeight="false" outlineLevel="0" collapsed="false">
      <c r="A1400" s="0" t="n">
        <v>913820</v>
      </c>
      <c r="B1400" s="0" t="n">
        <v>3231490000125</v>
      </c>
    </row>
    <row r="1401" customFormat="false" ht="15" hidden="false" customHeight="false" outlineLevel="0" collapsed="false">
      <c r="A1401" s="0" t="n">
        <v>913839</v>
      </c>
      <c r="B1401" s="0" t="n">
        <v>3231490000125</v>
      </c>
    </row>
    <row r="1402" customFormat="false" ht="15" hidden="false" customHeight="false" outlineLevel="0" collapsed="false">
      <c r="A1402" s="0" t="n">
        <v>913847</v>
      </c>
      <c r="B1402" s="0" t="n">
        <v>2990725000108</v>
      </c>
    </row>
    <row r="1403" customFormat="false" ht="15" hidden="false" customHeight="false" outlineLevel="0" collapsed="false">
      <c r="A1403" s="0" t="n">
        <v>913863</v>
      </c>
      <c r="B1403" s="0" t="n">
        <v>2990725000108</v>
      </c>
    </row>
    <row r="1404" customFormat="false" ht="15" hidden="false" customHeight="false" outlineLevel="0" collapsed="false">
      <c r="A1404" s="0" t="n">
        <v>913871</v>
      </c>
      <c r="B1404" s="0" t="n">
        <v>2990725000108</v>
      </c>
    </row>
    <row r="1405" customFormat="false" ht="15" hidden="false" customHeight="false" outlineLevel="0" collapsed="false">
      <c r="A1405" s="0" t="n">
        <v>913898</v>
      </c>
      <c r="B1405" s="0" t="n">
        <v>3186649000137</v>
      </c>
    </row>
    <row r="1406" customFormat="false" ht="15" hidden="false" customHeight="false" outlineLevel="0" collapsed="false">
      <c r="A1406" s="0" t="n">
        <v>913910</v>
      </c>
      <c r="B1406" s="0" t="n">
        <v>3186649000137</v>
      </c>
    </row>
    <row r="1407" customFormat="false" ht="15" hidden="false" customHeight="false" outlineLevel="0" collapsed="false">
      <c r="A1407" s="0" t="n">
        <v>913928</v>
      </c>
      <c r="B1407" s="0" t="n">
        <v>3186649000137</v>
      </c>
    </row>
    <row r="1408" customFormat="false" ht="15" hidden="false" customHeight="false" outlineLevel="0" collapsed="false">
      <c r="A1408" s="0" t="n">
        <v>913936</v>
      </c>
      <c r="B1408" s="0" t="s">
        <v>569</v>
      </c>
    </row>
    <row r="1409" customFormat="false" ht="15" hidden="false" customHeight="false" outlineLevel="0" collapsed="false">
      <c r="A1409" s="0" t="n">
        <v>913944</v>
      </c>
      <c r="B1409" s="0" t="s">
        <v>569</v>
      </c>
    </row>
    <row r="1410" customFormat="false" ht="15" hidden="false" customHeight="false" outlineLevel="0" collapsed="false">
      <c r="A1410" s="0" t="n">
        <v>913952</v>
      </c>
      <c r="B1410" s="0" t="s">
        <v>569</v>
      </c>
    </row>
    <row r="1411" customFormat="false" ht="15" hidden="false" customHeight="false" outlineLevel="0" collapsed="false">
      <c r="A1411" s="0" t="n">
        <v>914380</v>
      </c>
    </row>
    <row r="1412" customFormat="false" ht="15" hidden="false" customHeight="false" outlineLevel="0" collapsed="false">
      <c r="A1412" s="0" t="n">
        <v>914401</v>
      </c>
    </row>
    <row r="1413" customFormat="false" ht="15" hidden="false" customHeight="false" outlineLevel="0" collapsed="false">
      <c r="A1413" s="0" t="n">
        <v>914410</v>
      </c>
    </row>
    <row r="1414" customFormat="false" ht="15" hidden="false" customHeight="false" outlineLevel="0" collapsed="false">
      <c r="A1414" s="0" t="n">
        <v>914436</v>
      </c>
      <c r="B1414" s="0" t="n">
        <v>3118597000161</v>
      </c>
    </row>
    <row r="1415" customFormat="false" ht="15" hidden="false" customHeight="false" outlineLevel="0" collapsed="false">
      <c r="A1415" s="0" t="n">
        <v>914452</v>
      </c>
      <c r="B1415" s="0" t="n">
        <v>3118597000161</v>
      </c>
    </row>
    <row r="1416" customFormat="false" ht="15" hidden="false" customHeight="false" outlineLevel="0" collapsed="false">
      <c r="A1416" s="0" t="n">
        <v>914479</v>
      </c>
      <c r="B1416" s="0" t="n">
        <v>3118597000161</v>
      </c>
    </row>
    <row r="1417" customFormat="false" ht="15" hidden="false" customHeight="false" outlineLevel="0" collapsed="false">
      <c r="A1417" s="0" t="n">
        <v>914509</v>
      </c>
    </row>
    <row r="1418" customFormat="false" ht="15" hidden="false" customHeight="false" outlineLevel="0" collapsed="false">
      <c r="A1418" s="0" t="n">
        <v>914525</v>
      </c>
    </row>
    <row r="1419" customFormat="false" ht="15" hidden="false" customHeight="false" outlineLevel="0" collapsed="false">
      <c r="A1419" s="0" t="n">
        <v>914541</v>
      </c>
    </row>
    <row r="1420" customFormat="false" ht="15" hidden="false" customHeight="false" outlineLevel="0" collapsed="false">
      <c r="A1420" s="0" t="n">
        <v>914576</v>
      </c>
    </row>
    <row r="1421" customFormat="false" ht="15" hidden="false" customHeight="false" outlineLevel="0" collapsed="false">
      <c r="A1421" s="0" t="n">
        <v>914584</v>
      </c>
    </row>
    <row r="1422" customFormat="false" ht="15" hidden="false" customHeight="false" outlineLevel="0" collapsed="false">
      <c r="A1422" s="0" t="n">
        <v>914614</v>
      </c>
    </row>
    <row r="1423" customFormat="false" ht="15" hidden="false" customHeight="false" outlineLevel="0" collapsed="false">
      <c r="A1423" s="0" t="n">
        <v>922374</v>
      </c>
      <c r="B1423" s="0" t="n">
        <v>53291992000110</v>
      </c>
    </row>
    <row r="1424" customFormat="false" ht="15" hidden="false" customHeight="false" outlineLevel="0" collapsed="false">
      <c r="A1424" s="0" t="n">
        <v>922382</v>
      </c>
      <c r="B1424" s="0" t="n">
        <v>53291992000110</v>
      </c>
    </row>
    <row r="1425" customFormat="false" ht="15" hidden="false" customHeight="false" outlineLevel="0" collapsed="false">
      <c r="A1425" s="0" t="n">
        <v>922390</v>
      </c>
      <c r="B1425" s="0" t="n">
        <v>53291992000110</v>
      </c>
    </row>
    <row r="1426" customFormat="false" ht="15" hidden="false" customHeight="false" outlineLevel="0" collapsed="false">
      <c r="A1426" s="0" t="n">
        <v>922404</v>
      </c>
      <c r="B1426" s="0" t="s">
        <v>426</v>
      </c>
    </row>
    <row r="1427" customFormat="false" ht="15" hidden="false" customHeight="false" outlineLevel="0" collapsed="false">
      <c r="A1427" s="0" t="n">
        <v>922412</v>
      </c>
      <c r="B1427" s="0" t="n">
        <v>2923347000131</v>
      </c>
    </row>
    <row r="1428" customFormat="false" ht="15" hidden="false" customHeight="false" outlineLevel="0" collapsed="false">
      <c r="A1428" s="0" t="n">
        <v>922420</v>
      </c>
      <c r="B1428" s="0" t="n">
        <v>3264299000180</v>
      </c>
    </row>
    <row r="1429" customFormat="false" ht="15" hidden="false" customHeight="false" outlineLevel="0" collapsed="false">
      <c r="A1429" s="0" t="n">
        <v>922439</v>
      </c>
      <c r="B1429" s="0" t="n">
        <v>3102716000198</v>
      </c>
    </row>
    <row r="1430" customFormat="false" ht="15" hidden="false" customHeight="false" outlineLevel="0" collapsed="false">
      <c r="A1430" s="0" t="n">
        <v>922447</v>
      </c>
      <c r="B1430" s="0" t="n">
        <v>3231490000125</v>
      </c>
    </row>
    <row r="1431" customFormat="false" ht="15" hidden="false" customHeight="false" outlineLevel="0" collapsed="false">
      <c r="A1431" s="0" t="n">
        <v>922455</v>
      </c>
      <c r="B1431" s="0" t="s">
        <v>429</v>
      </c>
    </row>
    <row r="1432" customFormat="false" ht="15" hidden="false" customHeight="false" outlineLevel="0" collapsed="false">
      <c r="A1432" s="0" t="n">
        <v>922463</v>
      </c>
      <c r="B1432" s="0" t="s">
        <v>429</v>
      </c>
    </row>
    <row r="1433" customFormat="false" ht="15" hidden="false" customHeight="false" outlineLevel="0" collapsed="false">
      <c r="A1433" s="0" t="n">
        <v>922471</v>
      </c>
      <c r="B1433" s="0" t="s">
        <v>429</v>
      </c>
    </row>
    <row r="1434" customFormat="false" ht="15" hidden="false" customHeight="false" outlineLevel="0" collapsed="false">
      <c r="A1434" s="0" t="n">
        <v>922480</v>
      </c>
      <c r="B1434" s="0" t="s">
        <v>429</v>
      </c>
    </row>
    <row r="1435" customFormat="false" ht="15" hidden="false" customHeight="false" outlineLevel="0" collapsed="false">
      <c r="A1435" s="0" t="n">
        <v>922498</v>
      </c>
      <c r="B1435" s="0" t="n">
        <v>2990725000108</v>
      </c>
    </row>
    <row r="1436" customFormat="false" ht="15" hidden="false" customHeight="false" outlineLevel="0" collapsed="false">
      <c r="A1436" s="0" t="n">
        <v>922501</v>
      </c>
      <c r="B1436" s="0" t="n">
        <v>3186649000137</v>
      </c>
    </row>
    <row r="1437" customFormat="false" ht="15" hidden="false" customHeight="false" outlineLevel="0" collapsed="false">
      <c r="A1437" s="0" t="n">
        <v>922510</v>
      </c>
      <c r="B1437" s="0" t="s">
        <v>569</v>
      </c>
    </row>
    <row r="1438" customFormat="false" ht="15" hidden="false" customHeight="false" outlineLevel="0" collapsed="false">
      <c r="A1438" s="0" t="n">
        <v>922528</v>
      </c>
      <c r="B1438" s="0" t="s">
        <v>570</v>
      </c>
    </row>
    <row r="1439" customFormat="false" ht="15" hidden="false" customHeight="false" outlineLevel="0" collapsed="false">
      <c r="A1439" s="0" t="n">
        <v>922536</v>
      </c>
      <c r="B1439" s="0" t="n">
        <v>3204985000165</v>
      </c>
    </row>
    <row r="1440" customFormat="false" ht="15" hidden="false" customHeight="false" outlineLevel="0" collapsed="false">
      <c r="A1440" s="0" t="n">
        <v>922544</v>
      </c>
      <c r="B1440" s="0" t="n">
        <v>3118597000161</v>
      </c>
    </row>
    <row r="1441" customFormat="false" ht="15" hidden="false" customHeight="false" outlineLevel="0" collapsed="false">
      <c r="A1441" s="0" t="n">
        <v>922552</v>
      </c>
      <c r="B1441" s="0" t="n">
        <v>8145959000127</v>
      </c>
    </row>
    <row r="1442" customFormat="false" ht="15" hidden="false" customHeight="false" outlineLevel="0" collapsed="false">
      <c r="A1442" s="0" t="n">
        <v>944939</v>
      </c>
      <c r="B1442" s="0" t="n">
        <v>53291992000110</v>
      </c>
    </row>
    <row r="1443" customFormat="false" ht="15" hidden="false" customHeight="false" outlineLevel="0" collapsed="false">
      <c r="A1443" s="0" t="n">
        <v>944947</v>
      </c>
      <c r="B1443" s="0" t="n">
        <v>53291992000110</v>
      </c>
    </row>
    <row r="1444" customFormat="false" ht="15" hidden="false" customHeight="false" outlineLevel="0" collapsed="false">
      <c r="A1444" s="0" t="n">
        <v>944971</v>
      </c>
      <c r="B1444" s="0" t="n">
        <v>53291992000110</v>
      </c>
    </row>
    <row r="1445" customFormat="false" ht="15" hidden="false" customHeight="false" outlineLevel="0" collapsed="false">
      <c r="A1445" s="0" t="n">
        <v>945200</v>
      </c>
      <c r="B1445" s="0" t="n">
        <v>53291992000110</v>
      </c>
    </row>
    <row r="1446" customFormat="false" ht="15" hidden="false" customHeight="false" outlineLevel="0" collapsed="false">
      <c r="A1446" s="0" t="n">
        <v>945218</v>
      </c>
      <c r="B1446" s="0" t="n">
        <v>53291992000110</v>
      </c>
    </row>
    <row r="1447" customFormat="false" ht="15" hidden="false" customHeight="false" outlineLevel="0" collapsed="false">
      <c r="A1447" s="0" t="n">
        <v>945226</v>
      </c>
      <c r="B1447" s="0" t="n">
        <v>53291992000110</v>
      </c>
    </row>
    <row r="1448" customFormat="false" ht="15" hidden="false" customHeight="false" outlineLevel="0" collapsed="false">
      <c r="A1448" s="0" t="n">
        <v>945234</v>
      </c>
      <c r="B1448" s="0" t="s">
        <v>680</v>
      </c>
    </row>
    <row r="1449" customFormat="false" ht="15" hidden="false" customHeight="false" outlineLevel="0" collapsed="false">
      <c r="A1449" s="0" t="n">
        <v>945242</v>
      </c>
      <c r="B1449" s="0" t="s">
        <v>680</v>
      </c>
    </row>
    <row r="1450" customFormat="false" ht="15" hidden="false" customHeight="false" outlineLevel="0" collapsed="false">
      <c r="A1450" s="0" t="n">
        <v>945285</v>
      </c>
      <c r="B1450" s="0" t="n">
        <v>53291992000110</v>
      </c>
    </row>
    <row r="1451" customFormat="false" ht="15" hidden="false" customHeight="false" outlineLevel="0" collapsed="false">
      <c r="A1451" s="0" t="n">
        <v>945315</v>
      </c>
      <c r="B1451" s="0" t="n">
        <v>53291992000110</v>
      </c>
    </row>
    <row r="1452" customFormat="false" ht="15" hidden="false" customHeight="false" outlineLevel="0" collapsed="false">
      <c r="A1452" s="0" t="n">
        <v>946079</v>
      </c>
      <c r="B1452" s="0" t="s">
        <v>681</v>
      </c>
    </row>
    <row r="1453" customFormat="false" ht="15" hidden="false" customHeight="false" outlineLevel="0" collapsed="false">
      <c r="A1453" s="0" t="n">
        <v>946206</v>
      </c>
      <c r="B1453" s="0" t="n">
        <v>53291992000110</v>
      </c>
    </row>
    <row r="1454" customFormat="false" ht="15" hidden="false" customHeight="false" outlineLevel="0" collapsed="false">
      <c r="A1454" s="0" t="n">
        <v>946214</v>
      </c>
      <c r="B1454" s="0" t="n">
        <v>53291992000110</v>
      </c>
    </row>
    <row r="1455" customFormat="false" ht="15" hidden="false" customHeight="false" outlineLevel="0" collapsed="false">
      <c r="A1455" s="0" t="n">
        <v>946222</v>
      </c>
      <c r="B1455" s="0" t="s">
        <v>680</v>
      </c>
    </row>
    <row r="1456" customFormat="false" ht="15" hidden="false" customHeight="false" outlineLevel="0" collapsed="false">
      <c r="A1456" s="0" t="n">
        <v>946230</v>
      </c>
      <c r="B1456" s="0" t="s">
        <v>680</v>
      </c>
    </row>
    <row r="1457" customFormat="false" ht="15" hidden="false" customHeight="false" outlineLevel="0" collapsed="false">
      <c r="A1457" s="0" t="n">
        <v>946249</v>
      </c>
      <c r="B1457" s="0" t="n">
        <v>53291992000110</v>
      </c>
    </row>
    <row r="1458" customFormat="false" ht="15" hidden="false" customHeight="false" outlineLevel="0" collapsed="false">
      <c r="A1458" s="0" t="n">
        <v>946257</v>
      </c>
      <c r="B1458" s="0" t="n">
        <v>53291992000110</v>
      </c>
    </row>
    <row r="1459" customFormat="false" ht="15" hidden="false" customHeight="false" outlineLevel="0" collapsed="false">
      <c r="A1459" s="0" t="n">
        <v>946265</v>
      </c>
      <c r="B1459" s="0" t="n">
        <v>53291992000110</v>
      </c>
    </row>
    <row r="1460" customFormat="false" ht="15" hidden="false" customHeight="false" outlineLevel="0" collapsed="false">
      <c r="A1460" s="0" t="n">
        <v>946273</v>
      </c>
      <c r="B1460" s="0" t="n">
        <v>53291992000110</v>
      </c>
    </row>
    <row r="1461" customFormat="false" ht="15" hidden="false" customHeight="false" outlineLevel="0" collapsed="false">
      <c r="A1461" s="0" t="n">
        <v>946281</v>
      </c>
      <c r="B1461" s="0" t="n">
        <v>53291992000110</v>
      </c>
    </row>
    <row r="1462" customFormat="false" ht="15" hidden="false" customHeight="false" outlineLevel="0" collapsed="false">
      <c r="A1462" s="0" t="n">
        <v>99000001</v>
      </c>
      <c r="B1462" s="0" t="n">
        <v>3507571000105</v>
      </c>
    </row>
    <row r="1463" customFormat="false" ht="15" hidden="false" customHeight="false" outlineLevel="0" collapsed="false">
      <c r="A1463" s="0" t="n">
        <v>99000002</v>
      </c>
      <c r="B1463" s="0" t="n">
        <v>15023898000190</v>
      </c>
    </row>
    <row r="1464" customFormat="false" ht="15" hidden="false" customHeight="false" outlineLevel="0" collapsed="false">
      <c r="A1464" s="0" t="n">
        <v>99000003</v>
      </c>
      <c r="B1464" s="0" t="n">
        <v>15023906000107</v>
      </c>
    </row>
    <row r="1465" customFormat="false" ht="15" hidden="false" customHeight="false" outlineLevel="0" collapsed="false">
      <c r="A1465" s="0" t="n">
        <v>99000004</v>
      </c>
      <c r="B1465" s="0" t="n">
        <v>3579836000180</v>
      </c>
    </row>
    <row r="1466" customFormat="false" ht="15" hidden="false" customHeight="false" outlineLevel="0" collapsed="false">
      <c r="A1466" s="0" t="n">
        <v>99000005</v>
      </c>
      <c r="B1466" s="0" t="n">
        <v>37465143000189</v>
      </c>
    </row>
    <row r="1467" customFormat="false" ht="15" hidden="false" customHeight="false" outlineLevel="0" collapsed="false">
      <c r="A1467" s="0" t="n">
        <v>99000006</v>
      </c>
      <c r="B1467" s="0" t="n">
        <v>3133097000107</v>
      </c>
    </row>
    <row r="1468" customFormat="false" ht="15" hidden="false" customHeight="false" outlineLevel="0" collapsed="false">
      <c r="A1468" s="0" t="n">
        <v>99000007</v>
      </c>
      <c r="B1468" s="0" t="n">
        <v>3648532000128</v>
      </c>
    </row>
    <row r="1469" customFormat="false" ht="15" hidden="false" customHeight="false" outlineLevel="0" collapsed="false">
      <c r="A1469" s="0" t="n">
        <v>99000008</v>
      </c>
      <c r="B1469" s="0" t="n">
        <v>1362680000156</v>
      </c>
    </row>
    <row r="1470" customFormat="false" ht="15" hidden="false" customHeight="false" outlineLevel="0" collapsed="false">
      <c r="A1470" s="0" t="n">
        <v>99000009</v>
      </c>
      <c r="B1470" s="0" t="n">
        <v>1321850000154</v>
      </c>
    </row>
    <row r="1471" customFormat="false" ht="15" hidden="false" customHeight="false" outlineLevel="0" collapsed="false">
      <c r="A1471" s="0" t="n">
        <v>99000010</v>
      </c>
      <c r="B1471" s="0" t="n">
        <v>3239035000176</v>
      </c>
    </row>
    <row r="1472" customFormat="false" ht="15" hidden="false" customHeight="false" outlineLevel="0" collapsed="false">
      <c r="A1472" s="0" t="n">
        <v>99000011</v>
      </c>
      <c r="B1472" s="0" t="n">
        <v>3947926000187</v>
      </c>
    </row>
    <row r="1473" customFormat="false" ht="15" hidden="false" customHeight="false" outlineLevel="0" collapsed="false">
      <c r="A1473" s="0" t="n">
        <v>99000012</v>
      </c>
      <c r="B1473" s="0" t="n">
        <v>15023914000145</v>
      </c>
    </row>
    <row r="1474" customFormat="false" ht="15" hidden="false" customHeight="false" outlineLevel="0" collapsed="false">
      <c r="A1474" s="0" t="n">
        <v>99000013</v>
      </c>
      <c r="B1474" s="0" t="n">
        <v>24977654000138</v>
      </c>
    </row>
    <row r="1475" customFormat="false" ht="15" hidden="false" customHeight="false" outlineLevel="0" collapsed="false">
      <c r="A1475" s="0" t="n">
        <v>99000014</v>
      </c>
      <c r="B1475" s="0" t="n">
        <v>3507498000171</v>
      </c>
    </row>
    <row r="1476" customFormat="false" ht="15" hidden="false" customHeight="false" outlineLevel="0" collapsed="false">
      <c r="A1476" s="0" t="n">
        <v>99000015</v>
      </c>
      <c r="B1476" s="0" t="n">
        <v>3507563000169</v>
      </c>
    </row>
    <row r="1477" customFormat="false" ht="15" hidden="false" customHeight="false" outlineLevel="0" collapsed="false">
      <c r="A1477" s="0" t="n">
        <v>99000016</v>
      </c>
      <c r="B1477" s="0" t="n">
        <v>3507522000172</v>
      </c>
    </row>
    <row r="1478" customFormat="false" ht="15" hidden="false" customHeight="false" outlineLevel="0" collapsed="false">
      <c r="A1478" s="0" t="n">
        <v>99000017</v>
      </c>
      <c r="B1478" s="0" t="n">
        <v>3439239000150</v>
      </c>
    </row>
    <row r="1479" customFormat="false" ht="15" hidden="false" customHeight="false" outlineLevel="0" collapsed="false">
      <c r="A1479" s="0" t="n">
        <v>99000018</v>
      </c>
      <c r="B1479" s="0" t="n">
        <v>4173952000168</v>
      </c>
    </row>
    <row r="1480" customFormat="false" ht="15" hidden="false" customHeight="false" outlineLevel="0" collapsed="false">
      <c r="A1480" s="0" t="n">
        <v>99000019</v>
      </c>
      <c r="B1480" s="0" t="n">
        <v>1375138000138</v>
      </c>
    </row>
    <row r="1481" customFormat="false" ht="15" hidden="false" customHeight="false" outlineLevel="0" collapsed="false">
      <c r="A1481" s="0" t="n">
        <v>99000020</v>
      </c>
      <c r="B1481" s="0" t="n">
        <v>3214145000183</v>
      </c>
    </row>
    <row r="1482" customFormat="false" ht="15" hidden="false" customHeight="false" outlineLevel="0" collapsed="false">
      <c r="A1482" s="0" t="n">
        <v>99000021</v>
      </c>
      <c r="B1482" s="0" t="n">
        <v>965152000129</v>
      </c>
    </row>
    <row r="1483" customFormat="false" ht="15" hidden="false" customHeight="false" outlineLevel="0" collapsed="false">
      <c r="A1483" s="0" t="n">
        <v>99000022</v>
      </c>
      <c r="B1483" s="0" t="n">
        <v>24772287000136</v>
      </c>
    </row>
    <row r="1484" customFormat="false" ht="15" hidden="false" customHeight="false" outlineLevel="0" collapsed="false">
      <c r="A1484" s="0" t="n">
        <v>99000023</v>
      </c>
      <c r="B1484" s="0" t="n">
        <v>24950495000188</v>
      </c>
    </row>
    <row r="1485" customFormat="false" ht="15" hidden="false" customHeight="false" outlineLevel="0" collapsed="false">
      <c r="A1485" s="0" t="n">
        <v>99000024</v>
      </c>
      <c r="B1485" s="0" t="n">
        <v>1614516000199</v>
      </c>
    </row>
    <row r="1486" customFormat="false" ht="15" hidden="false" customHeight="false" outlineLevel="0" collapsed="false">
      <c r="A1486" s="0" t="n">
        <v>99000025</v>
      </c>
      <c r="B1486" s="0" t="n">
        <v>37465200000120</v>
      </c>
    </row>
    <row r="1487" customFormat="false" ht="15" hidden="false" customHeight="false" outlineLevel="0" collapsed="false">
      <c r="A1487" s="0" t="n">
        <v>99000026</v>
      </c>
      <c r="B1487" s="0" t="n">
        <v>15023922000191</v>
      </c>
    </row>
    <row r="1488" customFormat="false" ht="15" hidden="false" customHeight="false" outlineLevel="0" collapsed="false">
      <c r="A1488" s="0" t="n">
        <v>99000027</v>
      </c>
      <c r="B1488" s="0" t="n">
        <v>1617905000178</v>
      </c>
    </row>
    <row r="1489" customFormat="false" ht="15" hidden="false" customHeight="false" outlineLevel="0" collapsed="false">
      <c r="A1489" s="0" t="n">
        <v>99000028</v>
      </c>
      <c r="B1489" s="0" t="n">
        <v>24772154000160</v>
      </c>
    </row>
    <row r="1490" customFormat="false" ht="15" hidden="false" customHeight="false" outlineLevel="0" collapsed="false">
      <c r="A1490" s="0" t="n">
        <v>99000029</v>
      </c>
      <c r="B1490" s="0" t="n">
        <v>3507530000119</v>
      </c>
    </row>
    <row r="1491" customFormat="false" ht="15" hidden="false" customHeight="false" outlineLevel="0" collapsed="false">
      <c r="A1491" s="0" t="n">
        <v>99000030</v>
      </c>
      <c r="B1491" s="0" t="n">
        <v>1310499000104</v>
      </c>
    </row>
    <row r="1492" customFormat="false" ht="15" hidden="false" customHeight="false" outlineLevel="0" collapsed="false">
      <c r="A1492" s="0" t="n">
        <v>99000031</v>
      </c>
      <c r="B1492" s="0" t="n">
        <v>965145000127</v>
      </c>
    </row>
    <row r="1493" customFormat="false" ht="15" hidden="false" customHeight="false" outlineLevel="0" collapsed="false">
      <c r="A1493" s="0" t="n">
        <v>99000032</v>
      </c>
      <c r="B1493" s="0" t="n">
        <v>15023930000138</v>
      </c>
    </row>
    <row r="1494" customFormat="false" ht="15" hidden="false" customHeight="false" outlineLevel="0" collapsed="false">
      <c r="A1494" s="0" t="n">
        <v>99000033</v>
      </c>
      <c r="B1494" s="0" t="n">
        <v>4213687000102</v>
      </c>
    </row>
    <row r="1495" customFormat="false" ht="15" hidden="false" customHeight="false" outlineLevel="0" collapsed="false">
      <c r="A1495" s="0" t="n">
        <v>99000034</v>
      </c>
      <c r="B1495" s="0" t="n">
        <v>1367853000129</v>
      </c>
    </row>
    <row r="1496" customFormat="false" ht="15" hidden="false" customHeight="false" outlineLevel="0" collapsed="false">
      <c r="A1496" s="0" t="n">
        <v>99000035</v>
      </c>
      <c r="B1496" s="0" t="n">
        <v>37464716000150</v>
      </c>
    </row>
    <row r="1497" customFormat="false" ht="15" hidden="false" customHeight="false" outlineLevel="0" collapsed="false">
      <c r="A1497" s="0" t="n">
        <v>99000036</v>
      </c>
      <c r="B1497" s="0" t="n">
        <v>4219688000156</v>
      </c>
    </row>
    <row r="1498" customFormat="false" ht="15" hidden="false" customHeight="false" outlineLevel="0" collapsed="false">
      <c r="A1498" s="0" t="n">
        <v>99000037</v>
      </c>
      <c r="B1498" s="0" t="n">
        <v>37465309000167</v>
      </c>
    </row>
    <row r="1499" customFormat="false" ht="15" hidden="false" customHeight="false" outlineLevel="0" collapsed="false">
      <c r="A1499" s="0" t="n">
        <v>99000038</v>
      </c>
      <c r="B1499" s="0" t="n">
        <v>724394000120</v>
      </c>
    </row>
    <row r="1500" customFormat="false" ht="15" hidden="false" customHeight="false" outlineLevel="0" collapsed="false">
      <c r="A1500" s="0" t="n">
        <v>99000039</v>
      </c>
      <c r="B1500" s="0" t="n">
        <v>4217647000120</v>
      </c>
    </row>
    <row r="1501" customFormat="false" ht="15" hidden="false" customHeight="false" outlineLevel="0" collapsed="false">
      <c r="A1501" s="0" t="n">
        <v>99000040</v>
      </c>
      <c r="B1501" s="0" t="n">
        <v>3953718000190</v>
      </c>
    </row>
    <row r="1502" customFormat="false" ht="15" hidden="false" customHeight="false" outlineLevel="0" collapsed="false">
      <c r="A1502" s="0" t="n">
        <v>99000041</v>
      </c>
      <c r="B1502" s="0" t="n">
        <v>3648540000174</v>
      </c>
    </row>
    <row r="1503" customFormat="false" ht="15" hidden="false" customHeight="false" outlineLevel="0" collapsed="false">
      <c r="A1503" s="0" t="n">
        <v>99000042</v>
      </c>
      <c r="B1503" s="0" t="n">
        <v>3347119000123</v>
      </c>
    </row>
    <row r="1504" customFormat="false" ht="15" hidden="false" customHeight="false" outlineLevel="0" collapsed="false">
      <c r="A1504" s="0" t="n">
        <v>99000043</v>
      </c>
      <c r="B1504" s="0" t="n">
        <v>1614088000102</v>
      </c>
    </row>
    <row r="1505" customFormat="false" ht="15" hidden="false" customHeight="false" outlineLevel="0" collapsed="false">
      <c r="A1505" s="0" t="n">
        <v>99000044</v>
      </c>
      <c r="B1505" s="0" t="n">
        <v>1367762000193</v>
      </c>
    </row>
    <row r="1506" customFormat="false" ht="15" hidden="false" customHeight="false" outlineLevel="0" collapsed="false">
      <c r="A1506" s="0" t="n">
        <v>99000045</v>
      </c>
      <c r="B1506" s="0" t="n">
        <v>1614539000101</v>
      </c>
    </row>
    <row r="1507" customFormat="false" ht="15" hidden="false" customHeight="false" outlineLevel="0" collapsed="false">
      <c r="A1507" s="0" t="n">
        <v>99000046</v>
      </c>
      <c r="B1507" s="0" t="n">
        <v>3503612000195</v>
      </c>
    </row>
    <row r="1508" customFormat="false" ht="15" hidden="false" customHeight="false" outlineLevel="0" collapsed="false">
      <c r="A1508" s="0" t="n">
        <v>99000047</v>
      </c>
      <c r="B1508" s="0" t="n">
        <v>37464955000100</v>
      </c>
    </row>
    <row r="1509" customFormat="false" ht="15" hidden="false" customHeight="false" outlineLevel="0" collapsed="false">
      <c r="A1509" s="0" t="n">
        <v>99000048</v>
      </c>
      <c r="B1509" s="0" t="n">
        <v>3239019000183</v>
      </c>
    </row>
    <row r="1510" customFormat="false" ht="15" hidden="false" customHeight="false" outlineLevel="0" collapsed="false">
      <c r="A1510" s="0" t="n">
        <v>99000049</v>
      </c>
      <c r="B1510" s="0" t="n">
        <v>3347127000170</v>
      </c>
    </row>
    <row r="1511" customFormat="false" ht="15" hidden="false" customHeight="false" outlineLevel="0" collapsed="false">
      <c r="A1511" s="0" t="n">
        <v>99000050</v>
      </c>
      <c r="B1511" s="0" t="n">
        <v>3239027000120</v>
      </c>
    </row>
    <row r="1512" customFormat="false" ht="15" hidden="false" customHeight="false" outlineLevel="0" collapsed="false">
      <c r="A1512" s="0" t="n">
        <v>99000051</v>
      </c>
      <c r="B1512" s="0" t="n">
        <v>7209245000172</v>
      </c>
    </row>
    <row r="1513" customFormat="false" ht="15" hidden="false" customHeight="false" outlineLevel="0" collapsed="false">
      <c r="A1513" s="0" t="n">
        <v>99000052</v>
      </c>
      <c r="B1513" s="0" t="n">
        <v>7209225000100</v>
      </c>
    </row>
    <row r="1514" customFormat="false" ht="15" hidden="false" customHeight="false" outlineLevel="0" collapsed="false">
      <c r="A1514" s="0" t="n">
        <v>99000053</v>
      </c>
      <c r="B1514" s="0" t="n">
        <v>3238961000127</v>
      </c>
    </row>
    <row r="1515" customFormat="false" ht="15" hidden="false" customHeight="false" outlineLevel="0" collapsed="false">
      <c r="A1515" s="0" t="n">
        <v>99000054</v>
      </c>
      <c r="B1515" s="0" t="n">
        <v>3370251000156</v>
      </c>
    </row>
    <row r="1516" customFormat="false" ht="15" hidden="false" customHeight="false" outlineLevel="0" collapsed="false">
      <c r="A1516" s="0" t="n">
        <v>99000055</v>
      </c>
      <c r="B1516" s="0" t="n">
        <v>3347135000116</v>
      </c>
    </row>
    <row r="1517" customFormat="false" ht="15" hidden="false" customHeight="false" outlineLevel="0" collapsed="false">
      <c r="A1517" s="0" t="n">
        <v>99000056</v>
      </c>
      <c r="B1517" s="0" t="n">
        <v>24772147000168</v>
      </c>
    </row>
    <row r="1518" customFormat="false" ht="15" hidden="false" customHeight="false" outlineLevel="0" collapsed="false">
      <c r="A1518" s="0" t="n">
        <v>99000057</v>
      </c>
      <c r="B1518" s="0" t="n">
        <v>15023948000130</v>
      </c>
    </row>
    <row r="1519" customFormat="false" ht="15" hidden="false" customHeight="false" outlineLevel="0" collapsed="false">
      <c r="A1519" s="0" t="n">
        <v>99000058</v>
      </c>
      <c r="B1519" s="0" t="n">
        <v>15072663000199</v>
      </c>
    </row>
    <row r="1520" customFormat="false" ht="15" hidden="false" customHeight="false" outlineLevel="0" collapsed="false">
      <c r="A1520" s="0" t="n">
        <v>99000059</v>
      </c>
      <c r="B1520" s="0" t="n">
        <v>15359201000157</v>
      </c>
    </row>
    <row r="1521" customFormat="false" ht="15" hidden="false" customHeight="false" outlineLevel="0" collapsed="false">
      <c r="A1521" s="0" t="n">
        <v>99000060</v>
      </c>
      <c r="B1521" s="0" t="n">
        <v>24950461000193</v>
      </c>
    </row>
    <row r="1522" customFormat="false" ht="15" hidden="false" customHeight="false" outlineLevel="0" collapsed="false">
      <c r="A1522" s="0" t="n">
        <v>99000061</v>
      </c>
      <c r="B1522" s="0" t="n">
        <v>15023955000131</v>
      </c>
    </row>
    <row r="1523" customFormat="false" ht="15" hidden="false" customHeight="false" outlineLevel="0" collapsed="false">
      <c r="A1523" s="0" t="n">
        <v>99000062</v>
      </c>
      <c r="B1523" s="0" t="n">
        <v>37465408000149</v>
      </c>
    </row>
    <row r="1524" customFormat="false" ht="15" hidden="false" customHeight="false" outlineLevel="0" collapsed="false">
      <c r="A1524" s="0" t="n">
        <v>99000063</v>
      </c>
      <c r="B1524" s="0" t="n">
        <v>24772246000140</v>
      </c>
    </row>
    <row r="1525" customFormat="false" ht="15" hidden="false" customHeight="false" outlineLevel="0" collapsed="false">
      <c r="A1525" s="0" t="n">
        <v>99000064</v>
      </c>
      <c r="B1525" s="0" t="n">
        <v>3503620000131</v>
      </c>
    </row>
    <row r="1526" customFormat="false" ht="15" hidden="false" customHeight="false" outlineLevel="0" collapsed="false">
      <c r="A1526" s="0" t="n">
        <v>99000065</v>
      </c>
      <c r="B1526" s="0" t="n">
        <v>3238987000175</v>
      </c>
    </row>
    <row r="1527" customFormat="false" ht="15" hidden="false" customHeight="false" outlineLevel="0" collapsed="false">
      <c r="A1527" s="0" t="n">
        <v>99000066</v>
      </c>
      <c r="B1527" s="0" t="n">
        <v>24772188000154</v>
      </c>
    </row>
    <row r="1528" customFormat="false" ht="15" hidden="false" customHeight="false" outlineLevel="0" collapsed="false">
      <c r="A1528" s="0" t="n">
        <v>99000067</v>
      </c>
      <c r="B1528" s="0" t="n">
        <v>3755477000175</v>
      </c>
    </row>
    <row r="1529" customFormat="false" ht="15" hidden="false" customHeight="false" outlineLevel="0" collapsed="false">
      <c r="A1529" s="0" t="n">
        <v>99000068</v>
      </c>
      <c r="B1529" s="0" t="n">
        <v>3424272000107</v>
      </c>
    </row>
    <row r="1530" customFormat="false" ht="15" hidden="false" customHeight="false" outlineLevel="0" collapsed="false">
      <c r="A1530" s="0" t="n">
        <v>99000069</v>
      </c>
      <c r="B1530" s="0" t="n">
        <v>3425170000106</v>
      </c>
    </row>
    <row r="1531" customFormat="false" ht="15" hidden="false" customHeight="false" outlineLevel="0" collapsed="false">
      <c r="A1531" s="0" t="n">
        <v>99000070</v>
      </c>
      <c r="B1531" s="0" t="n">
        <v>3507514000126</v>
      </c>
    </row>
    <row r="1532" customFormat="false" ht="15" hidden="false" customHeight="false" outlineLevel="0" collapsed="false">
      <c r="A1532" s="0" t="n">
        <v>99000071</v>
      </c>
      <c r="B1532" s="0" t="n">
        <v>33683822000173</v>
      </c>
    </row>
    <row r="1533" customFormat="false" ht="15" hidden="false" customHeight="false" outlineLevel="0" collapsed="false">
      <c r="A1533" s="0" t="n">
        <v>99000072</v>
      </c>
      <c r="B1533" s="0" t="n">
        <v>15023963000188</v>
      </c>
    </row>
    <row r="1534" customFormat="false" ht="15" hidden="false" customHeight="false" outlineLevel="0" collapsed="false">
      <c r="A1534" s="0" t="n">
        <v>99000073</v>
      </c>
      <c r="B1534" s="0" t="n">
        <v>3238912000194</v>
      </c>
    </row>
    <row r="1535" customFormat="false" ht="15" hidden="false" customHeight="false" outlineLevel="0" collapsed="false">
      <c r="A1535" s="0" t="n">
        <v>99000074</v>
      </c>
      <c r="B1535" s="0" t="n">
        <v>37465598000102</v>
      </c>
    </row>
    <row r="1536" customFormat="false" ht="15" hidden="false" customHeight="false" outlineLevel="0" collapsed="false">
      <c r="A1536" s="0" t="n">
        <v>99000075</v>
      </c>
      <c r="B1536" s="0" t="n">
        <v>1614519000122</v>
      </c>
    </row>
    <row r="1537" customFormat="false" ht="15" hidden="false" customHeight="false" outlineLevel="0" collapsed="false">
      <c r="A1537" s="0" t="n">
        <v>99000076</v>
      </c>
      <c r="B1537" s="0" t="n">
        <v>37464989000102</v>
      </c>
    </row>
    <row r="1538" customFormat="false" ht="15" hidden="false" customHeight="false" outlineLevel="0" collapsed="false">
      <c r="A1538" s="0" t="n">
        <v>99000077</v>
      </c>
      <c r="B1538" s="0" t="n">
        <v>37464831000124</v>
      </c>
    </row>
    <row r="1539" customFormat="false" ht="15" hidden="false" customHeight="false" outlineLevel="0" collapsed="false">
      <c r="A1539" s="0" t="n">
        <v>99000078</v>
      </c>
      <c r="B1539" s="0" t="n">
        <v>37465556000163</v>
      </c>
    </row>
    <row r="1540" customFormat="false" ht="15" hidden="false" customHeight="false" outlineLevel="0" collapsed="false">
      <c r="A1540" s="0" t="n">
        <v>99000079</v>
      </c>
      <c r="B1540" s="0" t="n">
        <v>24772162000106</v>
      </c>
    </row>
    <row r="1541" customFormat="false" ht="15" hidden="false" customHeight="false" outlineLevel="0" collapsed="false">
      <c r="A1541" s="0" t="n">
        <v>99000080</v>
      </c>
      <c r="B1541" s="0" t="n">
        <v>4202280000171</v>
      </c>
    </row>
    <row r="1542" customFormat="false" ht="15" hidden="false" customHeight="false" outlineLevel="0" collapsed="false">
      <c r="A1542" s="0" t="n">
        <v>99000081</v>
      </c>
      <c r="B1542" s="0" t="n">
        <v>3238920000130</v>
      </c>
    </row>
    <row r="1543" customFormat="false" ht="15" hidden="false" customHeight="false" outlineLevel="0" collapsed="false">
      <c r="A1543" s="0" t="n">
        <v>99000082</v>
      </c>
      <c r="B1543" s="0" t="n">
        <v>4214704000118</v>
      </c>
    </row>
    <row r="1544" customFormat="false" ht="15" hidden="false" customHeight="false" outlineLevel="0" collapsed="false">
      <c r="A1544" s="0" t="n">
        <v>99000083</v>
      </c>
      <c r="B1544" s="0" t="n">
        <v>1614521000100</v>
      </c>
    </row>
    <row r="1545" customFormat="false" ht="15" hidden="false" customHeight="false" outlineLevel="0" collapsed="false">
      <c r="A1545" s="0" t="n">
        <v>99000084</v>
      </c>
      <c r="B1545" s="0" t="n">
        <v>15024045000173</v>
      </c>
    </row>
    <row r="1546" customFormat="false" ht="15" hidden="false" customHeight="false" outlineLevel="0" collapsed="false">
      <c r="A1546" s="0" t="n">
        <v>99000085</v>
      </c>
      <c r="B1546" s="0" t="n">
        <v>3238888000193</v>
      </c>
    </row>
    <row r="1547" customFormat="false" ht="15" hidden="false" customHeight="false" outlineLevel="0" collapsed="false">
      <c r="A1547" s="0" t="n">
        <v>99000086</v>
      </c>
      <c r="B1547" s="0" t="n">
        <v>1614517000133</v>
      </c>
    </row>
    <row r="1548" customFormat="false" ht="15" hidden="false" customHeight="false" outlineLevel="0" collapsed="false">
      <c r="A1548" s="0" t="n">
        <v>99000087</v>
      </c>
      <c r="B1548" s="0" t="n">
        <v>4199966000150</v>
      </c>
    </row>
    <row r="1549" customFormat="false" ht="15" hidden="false" customHeight="false" outlineLevel="0" collapsed="false">
      <c r="A1549" s="0" t="n">
        <v>99000088</v>
      </c>
      <c r="B1549" s="0" t="n">
        <v>3238581000192</v>
      </c>
    </row>
    <row r="1550" customFormat="false" ht="15" hidden="false" customHeight="false" outlineLevel="0" collapsed="false">
      <c r="A1550" s="0" t="n">
        <v>99000089</v>
      </c>
      <c r="B1550" s="0" t="n">
        <v>3239043000112</v>
      </c>
    </row>
    <row r="1551" customFormat="false" ht="15" hidden="false" customHeight="false" outlineLevel="0" collapsed="false">
      <c r="A1551" s="0" t="n">
        <v>99000090</v>
      </c>
      <c r="B1551" s="0" t="n">
        <v>15023971000124</v>
      </c>
    </row>
    <row r="1552" customFormat="false" ht="15" hidden="false" customHeight="false" outlineLevel="0" collapsed="false">
      <c r="A1552" s="0" t="n">
        <v>99000091</v>
      </c>
      <c r="B1552" s="0" t="n">
        <v>3773942000109</v>
      </c>
    </row>
    <row r="1553" customFormat="false" ht="15" hidden="false" customHeight="false" outlineLevel="0" collapsed="false">
      <c r="A1553" s="0" t="n">
        <v>99000092</v>
      </c>
      <c r="B1553" s="0" t="n">
        <v>3238631000131</v>
      </c>
    </row>
    <row r="1554" customFormat="false" ht="15" hidden="false" customHeight="false" outlineLevel="0" collapsed="false">
      <c r="A1554" s="0" t="n">
        <v>99000093</v>
      </c>
      <c r="B1554" s="0" t="n">
        <v>37465176000129</v>
      </c>
    </row>
    <row r="1555" customFormat="false" ht="15" hidden="false" customHeight="false" outlineLevel="0" collapsed="false">
      <c r="A1555" s="0" t="n">
        <v>99000094</v>
      </c>
      <c r="B1555" s="0" t="n">
        <v>3162872000144</v>
      </c>
    </row>
    <row r="1556" customFormat="false" ht="15" hidden="false" customHeight="false" outlineLevel="0" collapsed="false">
      <c r="A1556" s="0" t="n">
        <v>99000095</v>
      </c>
      <c r="B1556" s="0" t="n">
        <v>33000670000167</v>
      </c>
    </row>
    <row r="1557" customFormat="false" ht="15" hidden="false" customHeight="false" outlineLevel="0" collapsed="false">
      <c r="A1557" s="0" t="n">
        <v>99000096</v>
      </c>
      <c r="B1557" s="0" t="n">
        <v>3503638000133</v>
      </c>
    </row>
    <row r="1558" customFormat="false" ht="15" hidden="false" customHeight="false" outlineLevel="0" collapsed="false">
      <c r="A1558" s="0" t="n">
        <v>99000097</v>
      </c>
      <c r="B1558" s="0" t="n">
        <v>15023989000126</v>
      </c>
    </row>
    <row r="1559" customFormat="false" ht="15" hidden="false" customHeight="false" outlineLevel="0" collapsed="false">
      <c r="A1559" s="0" t="n">
        <v>99000098</v>
      </c>
      <c r="B1559" s="0" t="n">
        <v>3238672000128</v>
      </c>
    </row>
    <row r="1560" customFormat="false" ht="15" hidden="false" customHeight="false" outlineLevel="0" collapsed="false">
      <c r="A1560" s="0" t="n">
        <v>99000099</v>
      </c>
      <c r="B1560" s="0" t="n">
        <v>3204187000133</v>
      </c>
    </row>
    <row r="1561" customFormat="false" ht="15" hidden="false" customHeight="false" outlineLevel="0" collapsed="false">
      <c r="A1561" s="0" t="n">
        <v>99000100</v>
      </c>
      <c r="B1561" s="0" t="n">
        <v>3238904000148</v>
      </c>
    </row>
    <row r="1562" customFormat="false" ht="15" hidden="false" customHeight="false" outlineLevel="0" collapsed="false">
      <c r="A1562" s="0" t="n">
        <v>99000101</v>
      </c>
      <c r="B1562" s="0" t="n">
        <v>24740268000128</v>
      </c>
    </row>
    <row r="1563" customFormat="false" ht="15" hidden="false" customHeight="false" outlineLevel="0" collapsed="false">
      <c r="A1563" s="0" t="n">
        <v>99000102</v>
      </c>
      <c r="B1563" s="0" t="n">
        <v>3408911000140</v>
      </c>
    </row>
    <row r="1564" customFormat="false" ht="15" hidden="false" customHeight="false" outlineLevel="0" collapsed="false">
      <c r="A1564" s="0" t="n">
        <v>99000103</v>
      </c>
      <c r="B1564" s="0" t="n">
        <v>1974088000105</v>
      </c>
    </row>
    <row r="1565" customFormat="false" ht="15" hidden="false" customHeight="false" outlineLevel="0" collapsed="false">
      <c r="A1565" s="0" t="n">
        <v>99000104</v>
      </c>
      <c r="B1565" s="0" t="n">
        <v>37465002000166</v>
      </c>
    </row>
    <row r="1566" customFormat="false" ht="15" hidden="false" customHeight="false" outlineLevel="0" collapsed="false">
      <c r="A1566" s="0" t="n">
        <v>99000105</v>
      </c>
      <c r="B1566" s="0" t="n">
        <v>1367788000131</v>
      </c>
    </row>
    <row r="1567" customFormat="false" ht="15" hidden="false" customHeight="false" outlineLevel="0" collapsed="false">
      <c r="A1567" s="0" t="n">
        <v>99000106</v>
      </c>
      <c r="B1567" s="0" t="n">
        <v>24772113000173</v>
      </c>
    </row>
    <row r="1568" customFormat="false" ht="15" hidden="false" customHeight="false" outlineLevel="0" collapsed="false">
      <c r="A1568" s="0" t="n">
        <v>99000107</v>
      </c>
      <c r="B1568" s="0" t="n">
        <v>15943434000100</v>
      </c>
    </row>
    <row r="1569" customFormat="false" ht="15" hidden="false" customHeight="false" outlineLevel="0" collapsed="false">
      <c r="A1569" s="0" t="n">
        <v>99000108</v>
      </c>
      <c r="B1569" s="0" t="n">
        <v>15023997000172</v>
      </c>
    </row>
    <row r="1570" customFormat="false" ht="15" hidden="false" customHeight="false" outlineLevel="0" collapsed="false">
      <c r="A1570" s="0" t="n">
        <v>99000109</v>
      </c>
      <c r="B1570" s="0" t="n">
        <v>4221486000149</v>
      </c>
    </row>
    <row r="1571" customFormat="false" ht="15" hidden="false" customHeight="false" outlineLevel="0" collapsed="false">
      <c r="A1571" s="0" t="n">
        <v>99000110</v>
      </c>
      <c r="B1571" s="0" t="n">
        <v>3347101000121</v>
      </c>
    </row>
    <row r="1572" customFormat="false" ht="15" hidden="false" customHeight="false" outlineLevel="0" collapsed="false">
      <c r="A1572" s="0" t="n">
        <v>99000111</v>
      </c>
      <c r="B1572" s="0" t="n">
        <v>3180924000105</v>
      </c>
    </row>
    <row r="1573" customFormat="false" ht="15" hidden="false" customHeight="false" outlineLevel="0" collapsed="false">
      <c r="A1573" s="0" t="n">
        <v>99000112</v>
      </c>
      <c r="B1573" s="0" t="n">
        <v>15024011000189</v>
      </c>
    </row>
    <row r="1574" customFormat="false" ht="15" hidden="false" customHeight="false" outlineLevel="0" collapsed="false">
      <c r="A1574" s="0" t="n">
        <v>99000113</v>
      </c>
      <c r="B1574" s="0" t="n">
        <v>37465283000157</v>
      </c>
    </row>
    <row r="1575" customFormat="false" ht="15" hidden="false" customHeight="false" outlineLevel="0" collapsed="false">
      <c r="A1575" s="0" t="n">
        <v>99000114</v>
      </c>
      <c r="B1575" s="0" t="n">
        <v>4178518000170</v>
      </c>
    </row>
    <row r="1576" customFormat="false" ht="15" hidden="false" customHeight="false" outlineLevel="0" collapsed="false">
      <c r="A1576" s="0" t="n">
        <v>99000115</v>
      </c>
      <c r="B1576" s="0" t="n">
        <v>4205596000117</v>
      </c>
    </row>
    <row r="1577" customFormat="false" ht="15" hidden="false" customHeight="false" outlineLevel="0" collapsed="false">
      <c r="A1577" s="0" t="n">
        <v>99000116</v>
      </c>
      <c r="B1577" s="0" t="n">
        <v>15031669000118</v>
      </c>
    </row>
    <row r="1578" customFormat="false" ht="15" hidden="false" customHeight="false" outlineLevel="0" collapsed="false">
      <c r="A1578" s="0" t="n">
        <v>99000117</v>
      </c>
      <c r="B1578" s="0" t="n">
        <v>37464161000146</v>
      </c>
    </row>
    <row r="1579" customFormat="false" ht="15" hidden="false" customHeight="false" outlineLevel="0" collapsed="false">
      <c r="A1579" s="0" t="n">
        <v>99000118</v>
      </c>
      <c r="B1579" s="0" t="n">
        <v>4217362000190</v>
      </c>
    </row>
    <row r="1580" customFormat="false" ht="15" hidden="false" customHeight="false" outlineLevel="0" collapsed="false">
      <c r="A1580" s="0" t="n">
        <v>99000119</v>
      </c>
      <c r="B1580" s="0" t="n">
        <v>3507555000112</v>
      </c>
    </row>
    <row r="1581" customFormat="false" ht="15" hidden="false" customHeight="false" outlineLevel="0" collapsed="false">
      <c r="A1581" s="0" t="n">
        <v>99000120</v>
      </c>
      <c r="B1581" s="0" t="n">
        <v>3918869000108</v>
      </c>
    </row>
    <row r="1582" customFormat="false" ht="15" hidden="false" customHeight="false" outlineLevel="0" collapsed="false">
      <c r="A1582" s="0" t="n">
        <v>99000121</v>
      </c>
      <c r="B1582" s="0" t="n">
        <v>32972424000104</v>
      </c>
    </row>
    <row r="1583" customFormat="false" ht="15" hidden="false" customHeight="false" outlineLevel="0" collapsed="false">
      <c r="A1583" s="0" t="n">
        <v>99000122</v>
      </c>
      <c r="B1583" s="0" t="n">
        <v>15024037000127</v>
      </c>
    </row>
    <row r="1584" customFormat="false" ht="15" hidden="false" customHeight="false" outlineLevel="0" collapsed="false">
      <c r="A1584" s="0" t="n">
        <v>99000123</v>
      </c>
      <c r="B1584" s="0" t="n">
        <v>37465317000103</v>
      </c>
    </row>
    <row r="1585" customFormat="false" ht="15" hidden="false" customHeight="false" outlineLevel="0" collapsed="false">
      <c r="A1585" s="0" t="n">
        <v>99000124</v>
      </c>
      <c r="B1585" s="0" t="n">
        <v>15024029000180</v>
      </c>
    </row>
    <row r="1586" customFormat="false" ht="15" hidden="false" customHeight="false" outlineLevel="0" collapsed="false">
      <c r="A1586" s="0" t="n">
        <v>99000125</v>
      </c>
      <c r="B1586" s="0" t="n">
        <v>37464948000108</v>
      </c>
    </row>
    <row r="1587" customFormat="false" ht="15" hidden="false" customHeight="false" outlineLevel="0" collapsed="false">
      <c r="A1587" s="0" t="n">
        <v>99000126</v>
      </c>
      <c r="B1587" s="0" t="n">
        <v>1614225000109</v>
      </c>
    </row>
    <row r="1588" customFormat="false" ht="15" hidden="false" customHeight="false" outlineLevel="0" collapsed="false">
      <c r="A1588" s="0" t="n">
        <v>99000127</v>
      </c>
      <c r="B1588" s="0" t="n">
        <v>4204945000186</v>
      </c>
    </row>
    <row r="1589" customFormat="false" ht="15" hidden="false" customHeight="false" outlineLevel="0" collapsed="false">
      <c r="A1589" s="0" t="n">
        <v>99000128</v>
      </c>
      <c r="B1589" s="0" t="n">
        <v>15024003000132</v>
      </c>
    </row>
    <row r="1590" customFormat="false" ht="15" hidden="false" customHeight="false" outlineLevel="0" collapsed="false">
      <c r="A1590" s="0" t="n">
        <v>99000129</v>
      </c>
      <c r="B1590" s="0" t="n">
        <v>3239076000162</v>
      </c>
    </row>
    <row r="1591" customFormat="false" ht="15" hidden="false" customHeight="false" outlineLevel="0" collapsed="false">
      <c r="A1591" s="0" t="n">
        <v>99000130</v>
      </c>
      <c r="B1591" s="0" t="n">
        <v>37464997000140</v>
      </c>
    </row>
    <row r="1592" customFormat="false" ht="15" hidden="false" customHeight="false" outlineLevel="0" collapsed="false">
      <c r="A1592" s="0" t="n">
        <v>99000131</v>
      </c>
      <c r="B1592" s="0" t="n">
        <v>3788239000166</v>
      </c>
    </row>
    <row r="1593" customFormat="false" ht="15" hidden="false" customHeight="false" outlineLevel="0" collapsed="false">
      <c r="A1593" s="0" t="n">
        <v>99000132</v>
      </c>
      <c r="B1593" s="0" t="n">
        <v>24772253000141</v>
      </c>
    </row>
    <row r="1594" customFormat="false" ht="15" hidden="false" customHeight="false" outlineLevel="0" collapsed="false">
      <c r="A1594" s="0" t="n">
        <v>99000133</v>
      </c>
      <c r="B1594" s="0" t="n">
        <v>1978212000100</v>
      </c>
    </row>
    <row r="1595" customFormat="false" ht="15" hidden="false" customHeight="false" outlineLevel="0" collapsed="false">
      <c r="A1595" s="0" t="n">
        <v>99000134</v>
      </c>
      <c r="B1595" s="0" t="n">
        <v>3543303000149</v>
      </c>
    </row>
    <row r="1596" customFormat="false" ht="15" hidden="false" customHeight="false" outlineLevel="0" collapsed="false">
      <c r="A1596" s="0" t="n">
        <v>99000135</v>
      </c>
      <c r="B1596" s="0" t="n">
        <v>3503646000180</v>
      </c>
    </row>
    <row r="1597" customFormat="false" ht="15" hidden="false" customHeight="false" outlineLevel="0" collapsed="false">
      <c r="A1597" s="0" t="n">
        <v>99000136</v>
      </c>
      <c r="B1597" s="0" t="n">
        <v>1614538000159</v>
      </c>
    </row>
    <row r="1598" customFormat="false" ht="15" hidden="false" customHeight="false" outlineLevel="0" collapsed="false">
      <c r="A1598" s="0" t="n">
        <v>99000137</v>
      </c>
      <c r="B1598" s="0" t="n">
        <v>4215993000170</v>
      </c>
    </row>
    <row r="1599" customFormat="false" ht="15" hidden="false" customHeight="false" outlineLevel="0" collapsed="false">
      <c r="A1599" s="0" t="n">
        <v>99000138</v>
      </c>
      <c r="B1599" s="0" t="n">
        <v>3507548000110</v>
      </c>
    </row>
    <row r="1600" customFormat="false" ht="15" hidden="false" customHeight="false" outlineLevel="0" collapsed="false">
      <c r="A1600" s="0" t="n">
        <v>99000139</v>
      </c>
      <c r="B1600" s="0" t="n">
        <v>179531000193</v>
      </c>
    </row>
    <row r="1601" customFormat="false" ht="15" hidden="false" customHeight="false" outlineLevel="0" collapsed="false">
      <c r="A1601" s="0" t="n">
        <v>99000140</v>
      </c>
      <c r="B1601" s="0" t="n">
        <v>3214160000121</v>
      </c>
    </row>
    <row r="1602" customFormat="false" ht="15" hidden="false" customHeight="false" outlineLevel="0" collapsed="false">
      <c r="A1602" s="0" t="n">
        <v>99000141</v>
      </c>
      <c r="B1602" s="0" t="n">
        <v>3238862000145</v>
      </c>
    </row>
  </sheetData>
  <autoFilter ref="A1:B1602">
    <sortState ref="A2:B1602">
      <sortCondition ref="A2:A1602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15"/>
  </cols>
  <sheetData>
    <row r="1" customFormat="false" ht="15" hidden="false" customHeight="false" outlineLevel="0" collapsed="false">
      <c r="A1" s="1" t="s">
        <v>682</v>
      </c>
    </row>
    <row r="2" customFormat="false" ht="15" hidden="false" customHeight="false" outlineLevel="0" collapsed="false">
      <c r="A2" s="0" t="n">
        <v>9326</v>
      </c>
    </row>
    <row r="3" customFormat="false" ht="15" hidden="false" customHeight="false" outlineLevel="0" collapsed="false">
      <c r="A3" s="0" t="n">
        <v>9393</v>
      </c>
    </row>
    <row r="4" customFormat="false" ht="15" hidden="false" customHeight="false" outlineLevel="0" collapsed="false">
      <c r="A4" s="0" t="n">
        <v>9440</v>
      </c>
    </row>
    <row r="5" customFormat="false" ht="15" hidden="false" customHeight="false" outlineLevel="0" collapsed="false">
      <c r="A5" s="0" t="n">
        <v>9474</v>
      </c>
    </row>
    <row r="6" customFormat="false" ht="15" hidden="false" customHeight="false" outlineLevel="0" collapsed="false">
      <c r="A6" s="0" t="n">
        <v>9482</v>
      </c>
    </row>
    <row r="7" customFormat="false" ht="15" hidden="false" customHeight="false" outlineLevel="0" collapsed="false">
      <c r="A7" s="0" t="n">
        <v>9520</v>
      </c>
    </row>
    <row r="8" customFormat="false" ht="15" hidden="false" customHeight="false" outlineLevel="0" collapsed="false">
      <c r="A8" s="0" t="n">
        <v>9539</v>
      </c>
    </row>
    <row r="9" customFormat="false" ht="15" hidden="false" customHeight="false" outlineLevel="0" collapsed="false">
      <c r="A9" s="0" t="n">
        <v>9547</v>
      </c>
    </row>
    <row r="10" customFormat="false" ht="15" hidden="false" customHeight="false" outlineLevel="0" collapsed="false">
      <c r="A10" s="0" t="n">
        <v>9571</v>
      </c>
    </row>
    <row r="11" customFormat="false" ht="15" hidden="false" customHeight="false" outlineLevel="0" collapsed="false">
      <c r="A11" s="0" t="n">
        <v>9610</v>
      </c>
    </row>
    <row r="12" customFormat="false" ht="15" hidden="false" customHeight="false" outlineLevel="0" collapsed="false">
      <c r="A12" s="0" t="n">
        <v>9652</v>
      </c>
    </row>
    <row r="13" customFormat="false" ht="15" hidden="false" customHeight="false" outlineLevel="0" collapsed="false">
      <c r="A13" s="0" t="n">
        <v>9679</v>
      </c>
    </row>
    <row r="14" customFormat="false" ht="15" hidden="false" customHeight="false" outlineLevel="0" collapsed="false">
      <c r="A14" s="0" t="n">
        <v>9687</v>
      </c>
    </row>
    <row r="15" customFormat="false" ht="15" hidden="false" customHeight="false" outlineLevel="0" collapsed="false">
      <c r="A15" s="0" t="n">
        <v>9709</v>
      </c>
    </row>
    <row r="16" customFormat="false" ht="15" hidden="false" customHeight="false" outlineLevel="0" collapsed="false">
      <c r="A16" s="0" t="n">
        <v>9717</v>
      </c>
    </row>
    <row r="17" customFormat="false" ht="15" hidden="false" customHeight="false" outlineLevel="0" collapsed="false">
      <c r="A17" s="0" t="n">
        <v>9725</v>
      </c>
    </row>
    <row r="18" customFormat="false" ht="15" hidden="false" customHeight="false" outlineLevel="0" collapsed="false">
      <c r="A18" s="0" t="n">
        <v>9733</v>
      </c>
    </row>
    <row r="19" customFormat="false" ht="15" hidden="false" customHeight="false" outlineLevel="0" collapsed="false">
      <c r="A19" s="0" t="n">
        <v>9806</v>
      </c>
    </row>
    <row r="20" customFormat="false" ht="15" hidden="false" customHeight="false" outlineLevel="0" collapsed="false">
      <c r="A20" s="0" t="n">
        <v>9814</v>
      </c>
    </row>
    <row r="21" customFormat="false" ht="15" hidden="false" customHeight="false" outlineLevel="0" collapsed="false">
      <c r="A21" s="0" t="n">
        <v>9830</v>
      </c>
    </row>
    <row r="22" customFormat="false" ht="15" hidden="false" customHeight="false" outlineLevel="0" collapsed="false">
      <c r="A22" s="0" t="n">
        <v>9849</v>
      </c>
    </row>
    <row r="23" customFormat="false" ht="15" hidden="false" customHeight="false" outlineLevel="0" collapsed="false">
      <c r="A23" s="0" t="n">
        <v>9857</v>
      </c>
    </row>
    <row r="24" customFormat="false" ht="15" hidden="false" customHeight="false" outlineLevel="0" collapsed="false">
      <c r="A24" s="0" t="n">
        <v>9865</v>
      </c>
    </row>
    <row r="25" customFormat="false" ht="15" hidden="false" customHeight="false" outlineLevel="0" collapsed="false">
      <c r="A25" s="0" t="n">
        <v>9903</v>
      </c>
    </row>
    <row r="26" customFormat="false" ht="15" hidden="false" customHeight="false" outlineLevel="0" collapsed="false">
      <c r="A26" s="0" t="n">
        <v>9911</v>
      </c>
    </row>
    <row r="27" customFormat="false" ht="15" hidden="false" customHeight="false" outlineLevel="0" collapsed="false">
      <c r="A27" s="0" t="n">
        <v>9920</v>
      </c>
    </row>
    <row r="28" customFormat="false" ht="15" hidden="false" customHeight="false" outlineLevel="0" collapsed="false">
      <c r="A28" s="0" t="n">
        <v>9938</v>
      </c>
    </row>
    <row r="29" customFormat="false" ht="15" hidden="false" customHeight="false" outlineLevel="0" collapsed="false">
      <c r="A29" s="0" t="n">
        <v>9946</v>
      </c>
    </row>
    <row r="30" customFormat="false" ht="15" hidden="false" customHeight="false" outlineLevel="0" collapsed="false">
      <c r="A30" s="0" t="n">
        <v>10057</v>
      </c>
    </row>
    <row r="31" customFormat="false" ht="15" hidden="false" customHeight="false" outlineLevel="0" collapsed="false">
      <c r="A31" s="0" t="n">
        <v>10065</v>
      </c>
    </row>
    <row r="32" customFormat="false" ht="15" hidden="false" customHeight="false" outlineLevel="0" collapsed="false">
      <c r="A32" s="0" t="n">
        <v>10154</v>
      </c>
    </row>
    <row r="33" customFormat="false" ht="15" hidden="false" customHeight="false" outlineLevel="0" collapsed="false">
      <c r="A33" s="0" t="n">
        <v>10189</v>
      </c>
    </row>
    <row r="34" customFormat="false" ht="15" hidden="false" customHeight="false" outlineLevel="0" collapsed="false">
      <c r="A34" s="0" t="n">
        <v>10243</v>
      </c>
    </row>
    <row r="35" customFormat="false" ht="15" hidden="false" customHeight="false" outlineLevel="0" collapsed="false">
      <c r="A35" s="0" t="n">
        <v>10260</v>
      </c>
    </row>
    <row r="36" customFormat="false" ht="15" hidden="false" customHeight="false" outlineLevel="0" collapsed="false">
      <c r="A36" s="0" t="n">
        <v>10278</v>
      </c>
    </row>
    <row r="37" customFormat="false" ht="15" hidden="false" customHeight="false" outlineLevel="0" collapsed="false">
      <c r="A37" s="0" t="n">
        <v>10340</v>
      </c>
    </row>
    <row r="38" customFormat="false" ht="15" hidden="false" customHeight="false" outlineLevel="0" collapsed="false">
      <c r="A38" s="0" t="n">
        <v>10359</v>
      </c>
    </row>
    <row r="39" customFormat="false" ht="15" hidden="false" customHeight="false" outlineLevel="0" collapsed="false">
      <c r="A39" s="0" t="n">
        <v>10405</v>
      </c>
    </row>
    <row r="40" customFormat="false" ht="15" hidden="false" customHeight="false" outlineLevel="0" collapsed="false">
      <c r="A40" s="0" t="n">
        <v>10421</v>
      </c>
    </row>
    <row r="41" customFormat="false" ht="15" hidden="false" customHeight="false" outlineLevel="0" collapsed="false">
      <c r="A41" s="0" t="n">
        <v>10430</v>
      </c>
    </row>
    <row r="42" customFormat="false" ht="15" hidden="false" customHeight="false" outlineLevel="0" collapsed="false">
      <c r="A42" s="0" t="n">
        <v>10448</v>
      </c>
    </row>
    <row r="43" customFormat="false" ht="15" hidden="false" customHeight="false" outlineLevel="0" collapsed="false">
      <c r="A43" s="0" t="n">
        <v>10456</v>
      </c>
    </row>
    <row r="44" customFormat="false" ht="15" hidden="false" customHeight="false" outlineLevel="0" collapsed="false">
      <c r="A44" s="0" t="n">
        <v>10480</v>
      </c>
    </row>
    <row r="45" customFormat="false" ht="15" hidden="false" customHeight="false" outlineLevel="0" collapsed="false">
      <c r="A45" s="0" t="n">
        <v>10502</v>
      </c>
    </row>
    <row r="46" customFormat="false" ht="15" hidden="false" customHeight="false" outlineLevel="0" collapsed="false">
      <c r="A46" s="0" t="n">
        <v>10588</v>
      </c>
    </row>
    <row r="47" customFormat="false" ht="15" hidden="false" customHeight="false" outlineLevel="0" collapsed="false">
      <c r="A47" s="0" t="n">
        <v>10596</v>
      </c>
    </row>
    <row r="48" customFormat="false" ht="15" hidden="false" customHeight="false" outlineLevel="0" collapsed="false">
      <c r="A48" s="0" t="n">
        <v>10642</v>
      </c>
    </row>
    <row r="49" customFormat="false" ht="15" hidden="false" customHeight="false" outlineLevel="0" collapsed="false">
      <c r="A49" s="0" t="n">
        <v>10693</v>
      </c>
    </row>
    <row r="50" customFormat="false" ht="15" hidden="false" customHeight="false" outlineLevel="0" collapsed="false">
      <c r="A50" s="0" t="n">
        <v>10707</v>
      </c>
    </row>
    <row r="51" customFormat="false" ht="15" hidden="false" customHeight="false" outlineLevel="0" collapsed="false">
      <c r="A51" s="0" t="n">
        <v>10731</v>
      </c>
    </row>
    <row r="52" customFormat="false" ht="15" hidden="false" customHeight="false" outlineLevel="0" collapsed="false">
      <c r="A52" s="0" t="n">
        <v>10758</v>
      </c>
    </row>
    <row r="53" customFormat="false" ht="15" hidden="false" customHeight="false" outlineLevel="0" collapsed="false">
      <c r="A53" s="0" t="n">
        <v>10766</v>
      </c>
    </row>
    <row r="54" customFormat="false" ht="15" hidden="false" customHeight="false" outlineLevel="0" collapsed="false">
      <c r="A54" s="0" t="n">
        <v>10774</v>
      </c>
    </row>
    <row r="55" customFormat="false" ht="15" hidden="false" customHeight="false" outlineLevel="0" collapsed="false">
      <c r="A55" s="0" t="n">
        <v>10804</v>
      </c>
    </row>
    <row r="56" customFormat="false" ht="15" hidden="false" customHeight="false" outlineLevel="0" collapsed="false">
      <c r="A56" s="0" t="n">
        <v>10855</v>
      </c>
    </row>
    <row r="57" customFormat="false" ht="15" hidden="false" customHeight="false" outlineLevel="0" collapsed="false">
      <c r="A57" s="0" t="n">
        <v>10863</v>
      </c>
    </row>
    <row r="58" customFormat="false" ht="15" hidden="false" customHeight="false" outlineLevel="0" collapsed="false">
      <c r="A58" s="0" t="n">
        <v>10871</v>
      </c>
    </row>
    <row r="59" customFormat="false" ht="15" hidden="false" customHeight="false" outlineLevel="0" collapsed="false">
      <c r="A59" s="0" t="n">
        <v>10880</v>
      </c>
    </row>
    <row r="60" customFormat="false" ht="15" hidden="false" customHeight="false" outlineLevel="0" collapsed="false">
      <c r="A60" s="0" t="n">
        <v>10901</v>
      </c>
    </row>
    <row r="61" customFormat="false" ht="15" hidden="false" customHeight="false" outlineLevel="0" collapsed="false">
      <c r="A61" s="0" t="n">
        <v>10910</v>
      </c>
    </row>
    <row r="62" customFormat="false" ht="15" hidden="false" customHeight="false" outlineLevel="0" collapsed="false">
      <c r="A62" s="0" t="n">
        <v>10928</v>
      </c>
    </row>
    <row r="63" customFormat="false" ht="15" hidden="false" customHeight="false" outlineLevel="0" collapsed="false">
      <c r="A63" s="0" t="n">
        <v>10952</v>
      </c>
    </row>
    <row r="64" customFormat="false" ht="15" hidden="false" customHeight="false" outlineLevel="0" collapsed="false">
      <c r="A64" s="0" t="n">
        <v>10960</v>
      </c>
    </row>
    <row r="65" customFormat="false" ht="15" hidden="false" customHeight="false" outlineLevel="0" collapsed="false">
      <c r="A65" s="0" t="n">
        <v>10979</v>
      </c>
    </row>
    <row r="66" customFormat="false" ht="15" hidden="false" customHeight="false" outlineLevel="0" collapsed="false">
      <c r="A66" s="0" t="n">
        <v>10995</v>
      </c>
    </row>
    <row r="67" customFormat="false" ht="15" hidden="false" customHeight="false" outlineLevel="0" collapsed="false">
      <c r="A67" s="0" t="n">
        <v>11002</v>
      </c>
    </row>
    <row r="68" customFormat="false" ht="15" hidden="false" customHeight="false" outlineLevel="0" collapsed="false">
      <c r="A68" s="0" t="n">
        <v>11010</v>
      </c>
    </row>
    <row r="69" customFormat="false" ht="15" hidden="false" customHeight="false" outlineLevel="0" collapsed="false">
      <c r="A69" s="0" t="n">
        <v>11045</v>
      </c>
    </row>
    <row r="70" customFormat="false" ht="15" hidden="false" customHeight="false" outlineLevel="0" collapsed="false">
      <c r="A70" s="0" t="n">
        <v>11061</v>
      </c>
    </row>
    <row r="71" customFormat="false" ht="15" hidden="false" customHeight="false" outlineLevel="0" collapsed="false">
      <c r="A71" s="0" t="n">
        <v>11070</v>
      </c>
    </row>
    <row r="72" customFormat="false" ht="15" hidden="false" customHeight="false" outlineLevel="0" collapsed="false">
      <c r="A72" s="0" t="n">
        <v>11118</v>
      </c>
    </row>
    <row r="73" customFormat="false" ht="15" hidden="false" customHeight="false" outlineLevel="0" collapsed="false">
      <c r="A73" s="0" t="n">
        <v>11126</v>
      </c>
    </row>
    <row r="74" customFormat="false" ht="15" hidden="false" customHeight="false" outlineLevel="0" collapsed="false">
      <c r="A74" s="0" t="n">
        <v>11134</v>
      </c>
    </row>
    <row r="75" customFormat="false" ht="15" hidden="false" customHeight="false" outlineLevel="0" collapsed="false">
      <c r="A75" s="0" t="n">
        <v>11142</v>
      </c>
    </row>
    <row r="76" customFormat="false" ht="15" hidden="false" customHeight="false" outlineLevel="0" collapsed="false">
      <c r="A76" s="0" t="n">
        <v>11185</v>
      </c>
    </row>
    <row r="77" customFormat="false" ht="15" hidden="false" customHeight="false" outlineLevel="0" collapsed="false">
      <c r="A77" s="0" t="n">
        <v>11193</v>
      </c>
    </row>
    <row r="78" customFormat="false" ht="15" hidden="false" customHeight="false" outlineLevel="0" collapsed="false">
      <c r="A78" s="0" t="n">
        <v>11207</v>
      </c>
    </row>
    <row r="79" customFormat="false" ht="15" hidden="false" customHeight="false" outlineLevel="0" collapsed="false">
      <c r="A79" s="0" t="n">
        <v>11215</v>
      </c>
    </row>
    <row r="80" customFormat="false" ht="15" hidden="false" customHeight="false" outlineLevel="0" collapsed="false">
      <c r="A80" s="0" t="n">
        <v>11231</v>
      </c>
    </row>
    <row r="81" customFormat="false" ht="15" hidden="false" customHeight="false" outlineLevel="0" collapsed="false">
      <c r="A81" s="0" t="n">
        <v>11282</v>
      </c>
    </row>
    <row r="82" customFormat="false" ht="15" hidden="false" customHeight="false" outlineLevel="0" collapsed="false">
      <c r="A82" s="0" t="n">
        <v>11290</v>
      </c>
    </row>
    <row r="83" customFormat="false" ht="15" hidden="false" customHeight="false" outlineLevel="0" collapsed="false">
      <c r="A83" s="0" t="n">
        <v>11339</v>
      </c>
    </row>
    <row r="84" customFormat="false" ht="15" hidden="false" customHeight="false" outlineLevel="0" collapsed="false">
      <c r="A84" s="0" t="n">
        <v>11355</v>
      </c>
    </row>
    <row r="85" customFormat="false" ht="15" hidden="false" customHeight="false" outlineLevel="0" collapsed="false">
      <c r="A85" s="0" t="n">
        <v>11363</v>
      </c>
    </row>
    <row r="86" customFormat="false" ht="15" hidden="false" customHeight="false" outlineLevel="0" collapsed="false">
      <c r="A86" s="0" t="n">
        <v>11371</v>
      </c>
    </row>
    <row r="87" customFormat="false" ht="15" hidden="false" customHeight="false" outlineLevel="0" collapsed="false">
      <c r="A87" s="0" t="n">
        <v>11410</v>
      </c>
    </row>
    <row r="88" customFormat="false" ht="15" hidden="false" customHeight="false" outlineLevel="0" collapsed="false">
      <c r="A88" s="0" t="n">
        <v>11452</v>
      </c>
    </row>
    <row r="89" customFormat="false" ht="15" hidden="false" customHeight="false" outlineLevel="0" collapsed="false">
      <c r="A89" s="0" t="n">
        <v>11479</v>
      </c>
    </row>
    <row r="90" customFormat="false" ht="15" hidden="false" customHeight="false" outlineLevel="0" collapsed="false">
      <c r="A90" s="0" t="n">
        <v>11487</v>
      </c>
    </row>
    <row r="91" customFormat="false" ht="15" hidden="false" customHeight="false" outlineLevel="0" collapsed="false">
      <c r="A91" s="0" t="n">
        <v>11495</v>
      </c>
    </row>
    <row r="92" customFormat="false" ht="15" hidden="false" customHeight="false" outlineLevel="0" collapsed="false">
      <c r="A92" s="0" t="n">
        <v>11509</v>
      </c>
    </row>
    <row r="93" customFormat="false" ht="15" hidden="false" customHeight="false" outlineLevel="0" collapsed="false">
      <c r="A93" s="0" t="n">
        <v>11517</v>
      </c>
    </row>
    <row r="94" customFormat="false" ht="15" hidden="false" customHeight="false" outlineLevel="0" collapsed="false">
      <c r="A94" s="0" t="n">
        <v>11533</v>
      </c>
    </row>
    <row r="95" customFormat="false" ht="15" hidden="false" customHeight="false" outlineLevel="0" collapsed="false">
      <c r="A95" s="0" t="n">
        <v>11550</v>
      </c>
    </row>
    <row r="96" customFormat="false" ht="15" hidden="false" customHeight="false" outlineLevel="0" collapsed="false">
      <c r="A96" s="0" t="n">
        <v>11568</v>
      </c>
    </row>
    <row r="97" customFormat="false" ht="15" hidden="false" customHeight="false" outlineLevel="0" collapsed="false">
      <c r="A97" s="0" t="n">
        <v>11576</v>
      </c>
    </row>
    <row r="98" customFormat="false" ht="15" hidden="false" customHeight="false" outlineLevel="0" collapsed="false">
      <c r="A98" s="0" t="n">
        <v>11606</v>
      </c>
    </row>
    <row r="99" customFormat="false" ht="15" hidden="false" customHeight="false" outlineLevel="0" collapsed="false">
      <c r="A99" s="0" t="n">
        <v>11614</v>
      </c>
    </row>
    <row r="100" customFormat="false" ht="15" hidden="false" customHeight="false" outlineLevel="0" collapsed="false">
      <c r="A100" s="0" t="n">
        <v>11630</v>
      </c>
    </row>
    <row r="101" customFormat="false" ht="15" hidden="false" customHeight="false" outlineLevel="0" collapsed="false">
      <c r="A101" s="0" t="n">
        <v>11657</v>
      </c>
    </row>
    <row r="102" customFormat="false" ht="15" hidden="false" customHeight="false" outlineLevel="0" collapsed="false">
      <c r="A102" s="0" t="n">
        <v>11690</v>
      </c>
    </row>
    <row r="103" customFormat="false" ht="15" hidden="false" customHeight="false" outlineLevel="0" collapsed="false">
      <c r="A103" s="0" t="n">
        <v>11703</v>
      </c>
    </row>
    <row r="104" customFormat="false" ht="15" hidden="false" customHeight="false" outlineLevel="0" collapsed="false">
      <c r="A104" s="0" t="n">
        <v>11797</v>
      </c>
    </row>
    <row r="105" customFormat="false" ht="15" hidden="false" customHeight="false" outlineLevel="0" collapsed="false">
      <c r="A105" s="0" t="n">
        <v>11843</v>
      </c>
    </row>
    <row r="106" customFormat="false" ht="15" hidden="false" customHeight="false" outlineLevel="0" collapsed="false">
      <c r="A106" s="0" t="n">
        <v>11886</v>
      </c>
    </row>
    <row r="107" customFormat="false" ht="15" hidden="false" customHeight="false" outlineLevel="0" collapsed="false">
      <c r="A107" s="0" t="n">
        <v>11894</v>
      </c>
    </row>
    <row r="108" customFormat="false" ht="15" hidden="false" customHeight="false" outlineLevel="0" collapsed="false">
      <c r="A108" s="0" t="n">
        <v>11932</v>
      </c>
    </row>
    <row r="109" customFormat="false" ht="15" hidden="false" customHeight="false" outlineLevel="0" collapsed="false">
      <c r="A109" s="0" t="n">
        <v>11940</v>
      </c>
    </row>
    <row r="110" customFormat="false" ht="15" hidden="false" customHeight="false" outlineLevel="0" collapsed="false">
      <c r="A110" s="0" t="n">
        <v>11959</v>
      </c>
    </row>
    <row r="111" customFormat="false" ht="15" hidden="false" customHeight="false" outlineLevel="0" collapsed="false">
      <c r="A111" s="0" t="n">
        <v>11967</v>
      </c>
    </row>
    <row r="112" customFormat="false" ht="15" hidden="false" customHeight="false" outlineLevel="0" collapsed="false">
      <c r="A112" s="0" t="n">
        <v>11975</v>
      </c>
    </row>
    <row r="113" customFormat="false" ht="15" hidden="false" customHeight="false" outlineLevel="0" collapsed="false">
      <c r="A113" s="0" t="n">
        <v>11991</v>
      </c>
    </row>
    <row r="114" customFormat="false" ht="15" hidden="false" customHeight="false" outlineLevel="0" collapsed="false">
      <c r="A114" s="0" t="n">
        <v>12017</v>
      </c>
    </row>
    <row r="115" customFormat="false" ht="15" hidden="false" customHeight="false" outlineLevel="0" collapsed="false">
      <c r="A115" s="0" t="n">
        <v>12025</v>
      </c>
    </row>
    <row r="116" customFormat="false" ht="15" hidden="false" customHeight="false" outlineLevel="0" collapsed="false">
      <c r="A116" s="0" t="n">
        <v>12050</v>
      </c>
    </row>
    <row r="117" customFormat="false" ht="15" hidden="false" customHeight="false" outlineLevel="0" collapsed="false">
      <c r="A117" s="0" t="n">
        <v>12084</v>
      </c>
    </row>
    <row r="118" customFormat="false" ht="15" hidden="false" customHeight="false" outlineLevel="0" collapsed="false">
      <c r="A118" s="0" t="n">
        <v>12106</v>
      </c>
    </row>
    <row r="119" customFormat="false" ht="15" hidden="false" customHeight="false" outlineLevel="0" collapsed="false">
      <c r="A119" s="0" t="n">
        <v>12114</v>
      </c>
    </row>
    <row r="120" customFormat="false" ht="15" hidden="false" customHeight="false" outlineLevel="0" collapsed="false">
      <c r="A120" s="0" t="n">
        <v>12122</v>
      </c>
    </row>
    <row r="121" customFormat="false" ht="15" hidden="false" customHeight="false" outlineLevel="0" collapsed="false">
      <c r="A121" s="0" t="n">
        <v>12130</v>
      </c>
    </row>
    <row r="122" customFormat="false" ht="15" hidden="false" customHeight="false" outlineLevel="0" collapsed="false">
      <c r="A122" s="0" t="n">
        <v>12149</v>
      </c>
    </row>
    <row r="123" customFormat="false" ht="15" hidden="false" customHeight="false" outlineLevel="0" collapsed="false">
      <c r="A123" s="0" t="n">
        <v>12157</v>
      </c>
    </row>
    <row r="124" customFormat="false" ht="15" hidden="false" customHeight="false" outlineLevel="0" collapsed="false">
      <c r="A124" s="0" t="n">
        <v>12181</v>
      </c>
    </row>
    <row r="125" customFormat="false" ht="15" hidden="false" customHeight="false" outlineLevel="0" collapsed="false">
      <c r="A125" s="0" t="n">
        <v>12238</v>
      </c>
    </row>
    <row r="126" customFormat="false" ht="15" hidden="false" customHeight="false" outlineLevel="0" collapsed="false">
      <c r="A126" s="0" t="n">
        <v>12246</v>
      </c>
    </row>
    <row r="127" customFormat="false" ht="15" hidden="false" customHeight="false" outlineLevel="0" collapsed="false">
      <c r="A127" s="0" t="n">
        <v>12254</v>
      </c>
    </row>
    <row r="128" customFormat="false" ht="15" hidden="false" customHeight="false" outlineLevel="0" collapsed="false">
      <c r="A128" s="0" t="n">
        <v>12262</v>
      </c>
    </row>
    <row r="129" customFormat="false" ht="15" hidden="false" customHeight="false" outlineLevel="0" collapsed="false">
      <c r="A129" s="0" t="n">
        <v>12289</v>
      </c>
    </row>
    <row r="130" customFormat="false" ht="15" hidden="false" customHeight="false" outlineLevel="0" collapsed="false">
      <c r="A130" s="0" t="n">
        <v>12300</v>
      </c>
    </row>
    <row r="131" customFormat="false" ht="15" hidden="false" customHeight="false" outlineLevel="0" collapsed="false">
      <c r="A131" s="0" t="n">
        <v>12319</v>
      </c>
    </row>
    <row r="132" customFormat="false" ht="15" hidden="false" customHeight="false" outlineLevel="0" collapsed="false">
      <c r="A132" s="0" t="n">
        <v>12327</v>
      </c>
    </row>
    <row r="133" customFormat="false" ht="15" hidden="false" customHeight="false" outlineLevel="0" collapsed="false">
      <c r="A133" s="0" t="n">
        <v>12335</v>
      </c>
    </row>
    <row r="134" customFormat="false" ht="15" hidden="false" customHeight="false" outlineLevel="0" collapsed="false">
      <c r="A134" s="0" t="n">
        <v>12378</v>
      </c>
    </row>
    <row r="135" customFormat="false" ht="15" hidden="false" customHeight="false" outlineLevel="0" collapsed="false">
      <c r="A135" s="0" t="n">
        <v>12386</v>
      </c>
    </row>
    <row r="136" customFormat="false" ht="15" hidden="false" customHeight="false" outlineLevel="0" collapsed="false">
      <c r="A136" s="0" t="n">
        <v>12394</v>
      </c>
    </row>
    <row r="137" customFormat="false" ht="15" hidden="false" customHeight="false" outlineLevel="0" collapsed="false">
      <c r="A137" s="0" t="n">
        <v>12440</v>
      </c>
    </row>
    <row r="138" customFormat="false" ht="15" hidden="false" customHeight="false" outlineLevel="0" collapsed="false">
      <c r="A138" s="0" t="n">
        <v>12475</v>
      </c>
    </row>
    <row r="139" customFormat="false" ht="15" hidden="false" customHeight="false" outlineLevel="0" collapsed="false">
      <c r="A139" s="0" t="n">
        <v>12505</v>
      </c>
    </row>
    <row r="140" customFormat="false" ht="15" hidden="false" customHeight="false" outlineLevel="0" collapsed="false">
      <c r="A140" s="0" t="n">
        <v>12513</v>
      </c>
    </row>
    <row r="141" customFormat="false" ht="15" hidden="false" customHeight="false" outlineLevel="0" collapsed="false">
      <c r="A141" s="0" t="n">
        <v>12548</v>
      </c>
    </row>
    <row r="142" customFormat="false" ht="15" hidden="false" customHeight="false" outlineLevel="0" collapsed="false">
      <c r="A142" s="0" t="n">
        <v>12556</v>
      </c>
    </row>
    <row r="143" customFormat="false" ht="15" hidden="false" customHeight="false" outlineLevel="0" collapsed="false">
      <c r="A143" s="0" t="n">
        <v>12564</v>
      </c>
    </row>
    <row r="144" customFormat="false" ht="15" hidden="false" customHeight="false" outlineLevel="0" collapsed="false">
      <c r="A144" s="0" t="n">
        <v>12580</v>
      </c>
    </row>
    <row r="145" customFormat="false" ht="15" hidden="false" customHeight="false" outlineLevel="0" collapsed="false">
      <c r="A145" s="0" t="n">
        <v>12610</v>
      </c>
    </row>
    <row r="146" customFormat="false" ht="15" hidden="false" customHeight="false" outlineLevel="0" collapsed="false">
      <c r="A146" s="0" t="n">
        <v>12629</v>
      </c>
    </row>
    <row r="147" customFormat="false" ht="15" hidden="false" customHeight="false" outlineLevel="0" collapsed="false">
      <c r="A147" s="0" t="n">
        <v>12670</v>
      </c>
    </row>
    <row r="148" customFormat="false" ht="15" hidden="false" customHeight="false" outlineLevel="0" collapsed="false">
      <c r="A148" s="0" t="n">
        <v>12688</v>
      </c>
    </row>
    <row r="149" customFormat="false" ht="15" hidden="false" customHeight="false" outlineLevel="0" collapsed="false">
      <c r="A149" s="0" t="n">
        <v>12700</v>
      </c>
    </row>
    <row r="150" customFormat="false" ht="15" hidden="false" customHeight="false" outlineLevel="0" collapsed="false">
      <c r="A150" s="0" t="n">
        <v>12718</v>
      </c>
    </row>
    <row r="151" customFormat="false" ht="15" hidden="false" customHeight="false" outlineLevel="0" collapsed="false">
      <c r="A151" s="0" t="n">
        <v>12726</v>
      </c>
    </row>
    <row r="152" customFormat="false" ht="15" hidden="false" customHeight="false" outlineLevel="0" collapsed="false">
      <c r="A152" s="0" t="n">
        <v>12742</v>
      </c>
    </row>
    <row r="153" customFormat="false" ht="15" hidden="false" customHeight="false" outlineLevel="0" collapsed="false">
      <c r="A153" s="0" t="n">
        <v>12785</v>
      </c>
    </row>
    <row r="154" customFormat="false" ht="15" hidden="false" customHeight="false" outlineLevel="0" collapsed="false">
      <c r="A154" s="0" t="n">
        <v>12815</v>
      </c>
    </row>
    <row r="155" customFormat="false" ht="15" hidden="false" customHeight="false" outlineLevel="0" collapsed="false">
      <c r="A155" s="0" t="n">
        <v>12831</v>
      </c>
    </row>
    <row r="156" customFormat="false" ht="15" hidden="false" customHeight="false" outlineLevel="0" collapsed="false">
      <c r="A156" s="0" t="n">
        <v>12866</v>
      </c>
    </row>
    <row r="157" customFormat="false" ht="15" hidden="false" customHeight="false" outlineLevel="0" collapsed="false">
      <c r="A157" s="0" t="n">
        <v>12882</v>
      </c>
    </row>
    <row r="158" customFormat="false" ht="15" hidden="false" customHeight="false" outlineLevel="0" collapsed="false">
      <c r="A158" s="0" t="n">
        <v>12890</v>
      </c>
    </row>
    <row r="159" customFormat="false" ht="15" hidden="false" customHeight="false" outlineLevel="0" collapsed="false">
      <c r="A159" s="0" t="n">
        <v>12912</v>
      </c>
    </row>
    <row r="160" customFormat="false" ht="15" hidden="false" customHeight="false" outlineLevel="0" collapsed="false">
      <c r="A160" s="0" t="n">
        <v>12920</v>
      </c>
    </row>
    <row r="161" customFormat="false" ht="15" hidden="false" customHeight="false" outlineLevel="0" collapsed="false">
      <c r="A161" s="0" t="n">
        <v>12939</v>
      </c>
    </row>
    <row r="162" customFormat="false" ht="15" hidden="false" customHeight="false" outlineLevel="0" collapsed="false">
      <c r="A162" s="0" t="n">
        <v>12947</v>
      </c>
    </row>
    <row r="163" customFormat="false" ht="15" hidden="false" customHeight="false" outlineLevel="0" collapsed="false">
      <c r="A163" s="0" t="n">
        <v>12955</v>
      </c>
    </row>
    <row r="164" customFormat="false" ht="15" hidden="false" customHeight="false" outlineLevel="0" collapsed="false">
      <c r="A164" s="0" t="n">
        <v>12971</v>
      </c>
    </row>
    <row r="165" customFormat="false" ht="15" hidden="false" customHeight="false" outlineLevel="0" collapsed="false">
      <c r="A165" s="0" t="n">
        <v>12980</v>
      </c>
    </row>
    <row r="166" customFormat="false" ht="15" hidden="false" customHeight="false" outlineLevel="0" collapsed="false">
      <c r="A166" s="0" t="n">
        <v>13013</v>
      </c>
    </row>
    <row r="167" customFormat="false" ht="15" hidden="false" customHeight="false" outlineLevel="0" collapsed="false">
      <c r="A167" s="0" t="n">
        <v>13021</v>
      </c>
    </row>
    <row r="168" customFormat="false" ht="15" hidden="false" customHeight="false" outlineLevel="0" collapsed="false">
      <c r="A168" s="0" t="n">
        <v>13048</v>
      </c>
    </row>
    <row r="169" customFormat="false" ht="15" hidden="false" customHeight="false" outlineLevel="0" collapsed="false">
      <c r="A169" s="0" t="n">
        <v>13056</v>
      </c>
    </row>
    <row r="170" customFormat="false" ht="15" hidden="false" customHeight="false" outlineLevel="0" collapsed="false">
      <c r="A170" s="0" t="n">
        <v>13072</v>
      </c>
    </row>
    <row r="171" customFormat="false" ht="15" hidden="false" customHeight="false" outlineLevel="0" collapsed="false">
      <c r="A171" s="0" t="n">
        <v>13102</v>
      </c>
    </row>
    <row r="172" customFormat="false" ht="15" hidden="false" customHeight="false" outlineLevel="0" collapsed="false">
      <c r="A172" s="0" t="n">
        <v>13129</v>
      </c>
    </row>
    <row r="173" customFormat="false" ht="15" hidden="false" customHeight="false" outlineLevel="0" collapsed="false">
      <c r="A173" s="0" t="n">
        <v>13137</v>
      </c>
    </row>
    <row r="174" customFormat="false" ht="15" hidden="false" customHeight="false" outlineLevel="0" collapsed="false">
      <c r="A174" s="0" t="n">
        <v>13145</v>
      </c>
    </row>
    <row r="175" customFormat="false" ht="15" hidden="false" customHeight="false" outlineLevel="0" collapsed="false">
      <c r="A175" s="0" t="n">
        <v>13153</v>
      </c>
    </row>
    <row r="176" customFormat="false" ht="15" hidden="false" customHeight="false" outlineLevel="0" collapsed="false">
      <c r="A176" s="0" t="n">
        <v>13170</v>
      </c>
    </row>
    <row r="177" customFormat="false" ht="15" hidden="false" customHeight="false" outlineLevel="0" collapsed="false">
      <c r="A177" s="0" t="n">
        <v>13188</v>
      </c>
    </row>
    <row r="178" customFormat="false" ht="15" hidden="false" customHeight="false" outlineLevel="0" collapsed="false">
      <c r="A178" s="0" t="n">
        <v>13218</v>
      </c>
    </row>
    <row r="179" customFormat="false" ht="15" hidden="false" customHeight="false" outlineLevel="0" collapsed="false">
      <c r="A179" s="0" t="n">
        <v>13242</v>
      </c>
    </row>
    <row r="180" customFormat="false" ht="15" hidden="false" customHeight="false" outlineLevel="0" collapsed="false">
      <c r="A180" s="0" t="n">
        <v>13250</v>
      </c>
    </row>
    <row r="181" customFormat="false" ht="15" hidden="false" customHeight="false" outlineLevel="0" collapsed="false">
      <c r="A181" s="0" t="n">
        <v>13269</v>
      </c>
    </row>
    <row r="182" customFormat="false" ht="15" hidden="false" customHeight="false" outlineLevel="0" collapsed="false">
      <c r="A182" s="0" t="n">
        <v>13285</v>
      </c>
    </row>
    <row r="183" customFormat="false" ht="15" hidden="false" customHeight="false" outlineLevel="0" collapsed="false">
      <c r="A183" s="0" t="n">
        <v>13307</v>
      </c>
    </row>
    <row r="184" customFormat="false" ht="15" hidden="false" customHeight="false" outlineLevel="0" collapsed="false">
      <c r="A184" s="0" t="n">
        <v>13331</v>
      </c>
    </row>
    <row r="185" customFormat="false" ht="15" hidden="false" customHeight="false" outlineLevel="0" collapsed="false">
      <c r="A185" s="0" t="n">
        <v>13340</v>
      </c>
    </row>
    <row r="186" customFormat="false" ht="15" hidden="false" customHeight="false" outlineLevel="0" collapsed="false">
      <c r="A186" s="0" t="n">
        <v>13358</v>
      </c>
    </row>
    <row r="187" customFormat="false" ht="15" hidden="false" customHeight="false" outlineLevel="0" collapsed="false">
      <c r="A187" s="0" t="n">
        <v>13366</v>
      </c>
    </row>
    <row r="188" customFormat="false" ht="15" hidden="false" customHeight="false" outlineLevel="0" collapsed="false">
      <c r="A188" s="0" t="n">
        <v>13374</v>
      </c>
    </row>
    <row r="189" customFormat="false" ht="15" hidden="false" customHeight="false" outlineLevel="0" collapsed="false">
      <c r="A189" s="0" t="n">
        <v>13404</v>
      </c>
    </row>
    <row r="190" customFormat="false" ht="15" hidden="false" customHeight="false" outlineLevel="0" collapsed="false">
      <c r="A190" s="0" t="n">
        <v>13412</v>
      </c>
    </row>
    <row r="191" customFormat="false" ht="15" hidden="false" customHeight="false" outlineLevel="0" collapsed="false">
      <c r="A191" s="0" t="n">
        <v>13420</v>
      </c>
    </row>
    <row r="192" customFormat="false" ht="15" hidden="false" customHeight="false" outlineLevel="0" collapsed="false">
      <c r="A192" s="0" t="n">
        <v>13455</v>
      </c>
    </row>
    <row r="193" customFormat="false" ht="15" hidden="false" customHeight="false" outlineLevel="0" collapsed="false">
      <c r="A193" s="0" t="n">
        <v>13471</v>
      </c>
    </row>
    <row r="194" customFormat="false" ht="15" hidden="false" customHeight="false" outlineLevel="0" collapsed="false">
      <c r="A194" s="0" t="n">
        <v>13498</v>
      </c>
    </row>
    <row r="195" customFormat="false" ht="15" hidden="false" customHeight="false" outlineLevel="0" collapsed="false">
      <c r="A195" s="0" t="n">
        <v>13528</v>
      </c>
    </row>
    <row r="196" customFormat="false" ht="15" hidden="false" customHeight="false" outlineLevel="0" collapsed="false">
      <c r="A196" s="0" t="n">
        <v>13536</v>
      </c>
    </row>
    <row r="197" customFormat="false" ht="15" hidden="false" customHeight="false" outlineLevel="0" collapsed="false">
      <c r="A197" s="0" t="n">
        <v>13544</v>
      </c>
    </row>
    <row r="198" customFormat="false" ht="15" hidden="false" customHeight="false" outlineLevel="0" collapsed="false">
      <c r="A198" s="0" t="n">
        <v>13552</v>
      </c>
    </row>
    <row r="199" customFormat="false" ht="15" hidden="false" customHeight="false" outlineLevel="0" collapsed="false">
      <c r="A199" s="0" t="n">
        <v>13560</v>
      </c>
    </row>
    <row r="200" customFormat="false" ht="15" hidden="false" customHeight="false" outlineLevel="0" collapsed="false">
      <c r="A200" s="0" t="n">
        <v>13595</v>
      </c>
    </row>
    <row r="201" customFormat="false" ht="15" hidden="false" customHeight="false" outlineLevel="0" collapsed="false">
      <c r="A201" s="0" t="n">
        <v>13609</v>
      </c>
    </row>
    <row r="202" customFormat="false" ht="15" hidden="false" customHeight="false" outlineLevel="0" collapsed="false">
      <c r="A202" s="0" t="n">
        <v>13617</v>
      </c>
    </row>
    <row r="203" customFormat="false" ht="15" hidden="false" customHeight="false" outlineLevel="0" collapsed="false">
      <c r="A203" s="0" t="n">
        <v>13625</v>
      </c>
    </row>
    <row r="204" customFormat="false" ht="15" hidden="false" customHeight="false" outlineLevel="0" collapsed="false">
      <c r="A204" s="0" t="n">
        <v>13633</v>
      </c>
    </row>
    <row r="205" customFormat="false" ht="15" hidden="false" customHeight="false" outlineLevel="0" collapsed="false">
      <c r="A205" s="0" t="n">
        <v>13641</v>
      </c>
    </row>
    <row r="206" customFormat="false" ht="15" hidden="false" customHeight="false" outlineLevel="0" collapsed="false">
      <c r="A206" s="0" t="n">
        <v>13692</v>
      </c>
    </row>
    <row r="207" customFormat="false" ht="15" hidden="false" customHeight="false" outlineLevel="0" collapsed="false">
      <c r="A207" s="0" t="n">
        <v>13706</v>
      </c>
    </row>
    <row r="208" customFormat="false" ht="15" hidden="false" customHeight="false" outlineLevel="0" collapsed="false">
      <c r="A208" s="0" t="n">
        <v>13730</v>
      </c>
    </row>
    <row r="209" customFormat="false" ht="15" hidden="false" customHeight="false" outlineLevel="0" collapsed="false">
      <c r="A209" s="0" t="n">
        <v>13757</v>
      </c>
    </row>
    <row r="210" customFormat="false" ht="15" hidden="false" customHeight="false" outlineLevel="0" collapsed="false">
      <c r="A210" s="0" t="n">
        <v>13765</v>
      </c>
    </row>
    <row r="211" customFormat="false" ht="15" hidden="false" customHeight="false" outlineLevel="0" collapsed="false">
      <c r="A211" s="0" t="n">
        <v>13773</v>
      </c>
    </row>
    <row r="212" customFormat="false" ht="15" hidden="false" customHeight="false" outlineLevel="0" collapsed="false">
      <c r="A212" s="0" t="n">
        <v>13781</v>
      </c>
    </row>
    <row r="213" customFormat="false" ht="15" hidden="false" customHeight="false" outlineLevel="0" collapsed="false">
      <c r="A213" s="0" t="n">
        <v>13803</v>
      </c>
    </row>
    <row r="214" customFormat="false" ht="15" hidden="false" customHeight="false" outlineLevel="0" collapsed="false">
      <c r="A214" s="0" t="n">
        <v>13838</v>
      </c>
    </row>
    <row r="215" customFormat="false" ht="15" hidden="false" customHeight="false" outlineLevel="0" collapsed="false">
      <c r="A215" s="0" t="n">
        <v>13889</v>
      </c>
    </row>
    <row r="216" customFormat="false" ht="15" hidden="false" customHeight="false" outlineLevel="0" collapsed="false">
      <c r="A216" s="0" t="n">
        <v>13897</v>
      </c>
    </row>
    <row r="217" customFormat="false" ht="15" hidden="false" customHeight="false" outlineLevel="0" collapsed="false">
      <c r="A217" s="0" t="n">
        <v>13919</v>
      </c>
    </row>
    <row r="218" customFormat="false" ht="15" hidden="false" customHeight="false" outlineLevel="0" collapsed="false">
      <c r="A218" s="0" t="n">
        <v>13927</v>
      </c>
    </row>
    <row r="219" customFormat="false" ht="15" hidden="false" customHeight="false" outlineLevel="0" collapsed="false">
      <c r="A219" s="0" t="n">
        <v>13935</v>
      </c>
    </row>
    <row r="220" customFormat="false" ht="15" hidden="false" customHeight="false" outlineLevel="0" collapsed="false">
      <c r="A220" s="0" t="n">
        <v>13943</v>
      </c>
    </row>
    <row r="221" customFormat="false" ht="15" hidden="false" customHeight="false" outlineLevel="0" collapsed="false">
      <c r="A221" s="0" t="n">
        <v>13951</v>
      </c>
    </row>
    <row r="222" customFormat="false" ht="15" hidden="false" customHeight="false" outlineLevel="0" collapsed="false">
      <c r="A222" s="0" t="n">
        <v>14036</v>
      </c>
    </row>
    <row r="223" customFormat="false" ht="15" hidden="false" customHeight="false" outlineLevel="0" collapsed="false">
      <c r="A223" s="0" t="n">
        <v>14044</v>
      </c>
    </row>
    <row r="224" customFormat="false" ht="15" hidden="false" customHeight="false" outlineLevel="0" collapsed="false">
      <c r="A224" s="0" t="n">
        <v>14087</v>
      </c>
    </row>
    <row r="225" customFormat="false" ht="15" hidden="false" customHeight="false" outlineLevel="0" collapsed="false">
      <c r="A225" s="0" t="n">
        <v>14095</v>
      </c>
    </row>
    <row r="226" customFormat="false" ht="15" hidden="false" customHeight="false" outlineLevel="0" collapsed="false">
      <c r="A226" s="0" t="n">
        <v>14150</v>
      </c>
    </row>
    <row r="227" customFormat="false" ht="15" hidden="false" customHeight="false" outlineLevel="0" collapsed="false">
      <c r="A227" s="0" t="n">
        <v>14184</v>
      </c>
    </row>
    <row r="228" customFormat="false" ht="15" hidden="false" customHeight="false" outlineLevel="0" collapsed="false">
      <c r="A228" s="0" t="n">
        <v>14192</v>
      </c>
    </row>
    <row r="229" customFormat="false" ht="15" hidden="false" customHeight="false" outlineLevel="0" collapsed="false">
      <c r="A229" s="0" t="n">
        <v>14206</v>
      </c>
    </row>
    <row r="230" customFormat="false" ht="15" hidden="false" customHeight="false" outlineLevel="0" collapsed="false">
      <c r="A230" s="0" t="n">
        <v>14214</v>
      </c>
    </row>
    <row r="231" customFormat="false" ht="15" hidden="false" customHeight="false" outlineLevel="0" collapsed="false">
      <c r="A231" s="0" t="n">
        <v>14222</v>
      </c>
    </row>
    <row r="232" customFormat="false" ht="15" hidden="false" customHeight="false" outlineLevel="0" collapsed="false">
      <c r="A232" s="0" t="n">
        <v>14230</v>
      </c>
    </row>
    <row r="233" customFormat="false" ht="15" hidden="false" customHeight="false" outlineLevel="0" collapsed="false">
      <c r="A233" s="0" t="n">
        <v>14303</v>
      </c>
    </row>
    <row r="234" customFormat="false" ht="15" hidden="false" customHeight="false" outlineLevel="0" collapsed="false">
      <c r="A234" s="0" t="n">
        <v>14320</v>
      </c>
    </row>
    <row r="235" customFormat="false" ht="15" hidden="false" customHeight="false" outlineLevel="0" collapsed="false">
      <c r="A235" s="0" t="n">
        <v>14419</v>
      </c>
    </row>
    <row r="236" customFormat="false" ht="15" hidden="false" customHeight="false" outlineLevel="0" collapsed="false">
      <c r="A236" s="0" t="n">
        <v>14435</v>
      </c>
    </row>
    <row r="237" customFormat="false" ht="15" hidden="false" customHeight="false" outlineLevel="0" collapsed="false">
      <c r="A237" s="0" t="n">
        <v>14451</v>
      </c>
    </row>
    <row r="238" customFormat="false" ht="15" hidden="false" customHeight="false" outlineLevel="0" collapsed="false">
      <c r="A238" s="0" t="n">
        <v>14460</v>
      </c>
    </row>
    <row r="239" customFormat="false" ht="15" hidden="false" customHeight="false" outlineLevel="0" collapsed="false">
      <c r="A239" s="0" t="n">
        <v>14478</v>
      </c>
    </row>
    <row r="240" customFormat="false" ht="15" hidden="false" customHeight="false" outlineLevel="0" collapsed="false">
      <c r="A240" s="0" t="n">
        <v>14486</v>
      </c>
    </row>
    <row r="241" customFormat="false" ht="15" hidden="false" customHeight="false" outlineLevel="0" collapsed="false">
      <c r="A241" s="0" t="n">
        <v>14508</v>
      </c>
    </row>
    <row r="242" customFormat="false" ht="15" hidden="false" customHeight="false" outlineLevel="0" collapsed="false">
      <c r="A242" s="0" t="n">
        <v>14516</v>
      </c>
    </row>
    <row r="243" customFormat="false" ht="15" hidden="false" customHeight="false" outlineLevel="0" collapsed="false">
      <c r="A243" s="0" t="n">
        <v>14532</v>
      </c>
    </row>
    <row r="244" customFormat="false" ht="15" hidden="false" customHeight="false" outlineLevel="0" collapsed="false">
      <c r="A244" s="0" t="n">
        <v>14567</v>
      </c>
    </row>
    <row r="245" customFormat="false" ht="15" hidden="false" customHeight="false" outlineLevel="0" collapsed="false">
      <c r="A245" s="0" t="n">
        <v>14575</v>
      </c>
    </row>
    <row r="246" customFormat="false" ht="15" hidden="false" customHeight="false" outlineLevel="0" collapsed="false">
      <c r="A246" s="0" t="n">
        <v>14591</v>
      </c>
    </row>
    <row r="247" customFormat="false" ht="15" hidden="false" customHeight="false" outlineLevel="0" collapsed="false">
      <c r="A247" s="0" t="n">
        <v>14613</v>
      </c>
    </row>
    <row r="248" customFormat="false" ht="15" hidden="false" customHeight="false" outlineLevel="0" collapsed="false">
      <c r="A248" s="0" t="n">
        <v>14630</v>
      </c>
    </row>
    <row r="249" customFormat="false" ht="15" hidden="false" customHeight="false" outlineLevel="0" collapsed="false">
      <c r="A249" s="0" t="n">
        <v>14648</v>
      </c>
    </row>
    <row r="250" customFormat="false" ht="15" hidden="false" customHeight="false" outlineLevel="0" collapsed="false">
      <c r="A250" s="0" t="n">
        <v>14729</v>
      </c>
    </row>
    <row r="251" customFormat="false" ht="15" hidden="false" customHeight="false" outlineLevel="0" collapsed="false">
      <c r="A251" s="0" t="n">
        <v>14761</v>
      </c>
    </row>
    <row r="252" customFormat="false" ht="15" hidden="false" customHeight="false" outlineLevel="0" collapsed="false">
      <c r="A252" s="0" t="n">
        <v>14796</v>
      </c>
    </row>
    <row r="253" customFormat="false" ht="15" hidden="false" customHeight="false" outlineLevel="0" collapsed="false">
      <c r="A253" s="0" t="n">
        <v>14826</v>
      </c>
    </row>
    <row r="254" customFormat="false" ht="15" hidden="false" customHeight="false" outlineLevel="0" collapsed="false">
      <c r="A254" s="0" t="n">
        <v>14850</v>
      </c>
    </row>
    <row r="255" customFormat="false" ht="15" hidden="false" customHeight="false" outlineLevel="0" collapsed="false">
      <c r="A255" s="0" t="n">
        <v>14869</v>
      </c>
    </row>
    <row r="256" customFormat="false" ht="15" hidden="false" customHeight="false" outlineLevel="0" collapsed="false">
      <c r="A256" s="0" t="n">
        <v>14877</v>
      </c>
    </row>
    <row r="257" customFormat="false" ht="15" hidden="false" customHeight="false" outlineLevel="0" collapsed="false">
      <c r="A257" s="0" t="n">
        <v>14885</v>
      </c>
    </row>
    <row r="258" customFormat="false" ht="15" hidden="false" customHeight="false" outlineLevel="0" collapsed="false">
      <c r="A258" s="0" t="n">
        <v>14893</v>
      </c>
    </row>
    <row r="259" customFormat="false" ht="15" hidden="false" customHeight="false" outlineLevel="0" collapsed="false">
      <c r="A259" s="0" t="n">
        <v>14940</v>
      </c>
    </row>
    <row r="260" customFormat="false" ht="15" hidden="false" customHeight="false" outlineLevel="0" collapsed="false">
      <c r="A260" s="0" t="n">
        <v>14958</v>
      </c>
    </row>
    <row r="261" customFormat="false" ht="15" hidden="false" customHeight="false" outlineLevel="0" collapsed="false">
      <c r="A261" s="0" t="n">
        <v>14982</v>
      </c>
    </row>
    <row r="262" customFormat="false" ht="15" hidden="false" customHeight="false" outlineLevel="0" collapsed="false">
      <c r="A262" s="0" t="n">
        <v>15008</v>
      </c>
    </row>
    <row r="263" customFormat="false" ht="15" hidden="false" customHeight="false" outlineLevel="0" collapsed="false">
      <c r="A263" s="0" t="n">
        <v>15032</v>
      </c>
    </row>
    <row r="264" customFormat="false" ht="15" hidden="false" customHeight="false" outlineLevel="0" collapsed="false">
      <c r="A264" s="0" t="n">
        <v>15059</v>
      </c>
    </row>
    <row r="265" customFormat="false" ht="15" hidden="false" customHeight="false" outlineLevel="0" collapsed="false">
      <c r="A265" s="0" t="n">
        <v>15067</v>
      </c>
    </row>
    <row r="266" customFormat="false" ht="15" hidden="false" customHeight="false" outlineLevel="0" collapsed="false">
      <c r="A266" s="0" t="n">
        <v>15075</v>
      </c>
    </row>
    <row r="267" customFormat="false" ht="15" hidden="false" customHeight="false" outlineLevel="0" collapsed="false">
      <c r="A267" s="0" t="n">
        <v>15091</v>
      </c>
    </row>
    <row r="268" customFormat="false" ht="15" hidden="false" customHeight="false" outlineLevel="0" collapsed="false">
      <c r="A268" s="0" t="n">
        <v>15105</v>
      </c>
    </row>
    <row r="269" customFormat="false" ht="15" hidden="false" customHeight="false" outlineLevel="0" collapsed="false">
      <c r="A269" s="0" t="n">
        <v>15130</v>
      </c>
    </row>
    <row r="270" customFormat="false" ht="15" hidden="false" customHeight="false" outlineLevel="0" collapsed="false">
      <c r="A270" s="0" t="n">
        <v>15172</v>
      </c>
    </row>
    <row r="271" customFormat="false" ht="15" hidden="false" customHeight="false" outlineLevel="0" collapsed="false">
      <c r="A271" s="0" t="n">
        <v>15180</v>
      </c>
    </row>
    <row r="272" customFormat="false" ht="15" hidden="false" customHeight="false" outlineLevel="0" collapsed="false">
      <c r="A272" s="0" t="n">
        <v>15210</v>
      </c>
    </row>
    <row r="273" customFormat="false" ht="15" hidden="false" customHeight="false" outlineLevel="0" collapsed="false">
      <c r="A273" s="0" t="n">
        <v>15237</v>
      </c>
    </row>
    <row r="274" customFormat="false" ht="15" hidden="false" customHeight="false" outlineLevel="0" collapsed="false">
      <c r="A274" s="0" t="n">
        <v>15253</v>
      </c>
    </row>
    <row r="275" customFormat="false" ht="15" hidden="false" customHeight="false" outlineLevel="0" collapsed="false">
      <c r="A275" s="0" t="n">
        <v>15261</v>
      </c>
    </row>
    <row r="276" customFormat="false" ht="15" hidden="false" customHeight="false" outlineLevel="0" collapsed="false">
      <c r="A276" s="0" t="n">
        <v>15300</v>
      </c>
    </row>
    <row r="277" customFormat="false" ht="15" hidden="false" customHeight="false" outlineLevel="0" collapsed="false">
      <c r="A277" s="0" t="n">
        <v>15334</v>
      </c>
    </row>
    <row r="278" customFormat="false" ht="15" hidden="false" customHeight="false" outlineLevel="0" collapsed="false">
      <c r="A278" s="0" t="n">
        <v>15350</v>
      </c>
    </row>
    <row r="279" customFormat="false" ht="15" hidden="false" customHeight="false" outlineLevel="0" collapsed="false">
      <c r="A279" s="0" t="n">
        <v>15369</v>
      </c>
    </row>
    <row r="280" customFormat="false" ht="15" hidden="false" customHeight="false" outlineLevel="0" collapsed="false">
      <c r="A280" s="0" t="n">
        <v>15377</v>
      </c>
    </row>
    <row r="281" customFormat="false" ht="15" hidden="false" customHeight="false" outlineLevel="0" collapsed="false">
      <c r="A281" s="0" t="n">
        <v>15385</v>
      </c>
    </row>
    <row r="282" customFormat="false" ht="15" hidden="false" customHeight="false" outlineLevel="0" collapsed="false">
      <c r="A282" s="0" t="n">
        <v>15393</v>
      </c>
    </row>
    <row r="283" customFormat="false" ht="15" hidden="false" customHeight="false" outlineLevel="0" collapsed="false">
      <c r="A283" s="0" t="n">
        <v>15407</v>
      </c>
    </row>
    <row r="284" customFormat="false" ht="15" hidden="false" customHeight="false" outlineLevel="0" collapsed="false">
      <c r="A284" s="0" t="n">
        <v>15423</v>
      </c>
    </row>
    <row r="285" customFormat="false" ht="15" hidden="false" customHeight="false" outlineLevel="0" collapsed="false">
      <c r="A285" s="0" t="n">
        <v>15474</v>
      </c>
    </row>
    <row r="286" customFormat="false" ht="15" hidden="false" customHeight="false" outlineLevel="0" collapsed="false">
      <c r="A286" s="0" t="n">
        <v>15482</v>
      </c>
    </row>
    <row r="287" customFormat="false" ht="15" hidden="false" customHeight="false" outlineLevel="0" collapsed="false">
      <c r="A287" s="0" t="n">
        <v>15504</v>
      </c>
    </row>
    <row r="288" customFormat="false" ht="15" hidden="false" customHeight="false" outlineLevel="0" collapsed="false">
      <c r="A288" s="0" t="n">
        <v>15547</v>
      </c>
    </row>
    <row r="289" customFormat="false" ht="15" hidden="false" customHeight="false" outlineLevel="0" collapsed="false">
      <c r="A289" s="0" t="n">
        <v>15601</v>
      </c>
    </row>
    <row r="290" customFormat="false" ht="15" hidden="false" customHeight="false" outlineLevel="0" collapsed="false">
      <c r="A290" s="0" t="n">
        <v>15610</v>
      </c>
    </row>
    <row r="291" customFormat="false" ht="15" hidden="false" customHeight="false" outlineLevel="0" collapsed="false">
      <c r="A291" s="0" t="n">
        <v>15636</v>
      </c>
    </row>
    <row r="292" customFormat="false" ht="15" hidden="false" customHeight="false" outlineLevel="0" collapsed="false">
      <c r="A292" s="0" t="n">
        <v>15644</v>
      </c>
    </row>
    <row r="293" customFormat="false" ht="15" hidden="false" customHeight="false" outlineLevel="0" collapsed="false">
      <c r="A293" s="0" t="n">
        <v>15652</v>
      </c>
    </row>
    <row r="294" customFormat="false" ht="15" hidden="false" customHeight="false" outlineLevel="0" collapsed="false">
      <c r="A294" s="0" t="n">
        <v>15687</v>
      </c>
    </row>
    <row r="295" customFormat="false" ht="15" hidden="false" customHeight="false" outlineLevel="0" collapsed="false">
      <c r="A295" s="0" t="n">
        <v>15741</v>
      </c>
    </row>
    <row r="296" customFormat="false" ht="15" hidden="false" customHeight="false" outlineLevel="0" collapsed="false">
      <c r="A296" s="0" t="n">
        <v>15792</v>
      </c>
    </row>
    <row r="297" customFormat="false" ht="15" hidden="false" customHeight="false" outlineLevel="0" collapsed="false">
      <c r="A297" s="0" t="n">
        <v>15806</v>
      </c>
    </row>
    <row r="298" customFormat="false" ht="15" hidden="false" customHeight="false" outlineLevel="0" collapsed="false">
      <c r="A298" s="0" t="n">
        <v>15814</v>
      </c>
    </row>
    <row r="299" customFormat="false" ht="15" hidden="false" customHeight="false" outlineLevel="0" collapsed="false">
      <c r="A299" s="0" t="n">
        <v>15849</v>
      </c>
    </row>
    <row r="300" customFormat="false" ht="15" hidden="false" customHeight="false" outlineLevel="0" collapsed="false">
      <c r="A300" s="0" t="n">
        <v>15865</v>
      </c>
    </row>
    <row r="301" customFormat="false" ht="15" hidden="false" customHeight="false" outlineLevel="0" collapsed="false">
      <c r="A301" s="0" t="n">
        <v>15873</v>
      </c>
    </row>
    <row r="302" customFormat="false" ht="15" hidden="false" customHeight="false" outlineLevel="0" collapsed="false">
      <c r="A302" s="0" t="n">
        <v>15890</v>
      </c>
    </row>
    <row r="303" customFormat="false" ht="15" hidden="false" customHeight="false" outlineLevel="0" collapsed="false">
      <c r="A303" s="0" t="n">
        <v>15903</v>
      </c>
    </row>
    <row r="304" customFormat="false" ht="15" hidden="false" customHeight="false" outlineLevel="0" collapsed="false">
      <c r="A304" s="0" t="n">
        <v>15911</v>
      </c>
    </row>
    <row r="305" customFormat="false" ht="15" hidden="false" customHeight="false" outlineLevel="0" collapsed="false">
      <c r="A305" s="0" t="n">
        <v>15920</v>
      </c>
    </row>
    <row r="306" customFormat="false" ht="15" hidden="false" customHeight="false" outlineLevel="0" collapsed="false">
      <c r="A306" s="0" t="n">
        <v>15938</v>
      </c>
    </row>
    <row r="307" customFormat="false" ht="15" hidden="false" customHeight="false" outlineLevel="0" collapsed="false">
      <c r="A307" s="0" t="n">
        <v>15954</v>
      </c>
    </row>
    <row r="308" customFormat="false" ht="15" hidden="false" customHeight="false" outlineLevel="0" collapsed="false">
      <c r="A308" s="0" t="n">
        <v>15962</v>
      </c>
    </row>
    <row r="309" customFormat="false" ht="15" hidden="false" customHeight="false" outlineLevel="0" collapsed="false">
      <c r="A309" s="0" t="n">
        <v>15970</v>
      </c>
    </row>
    <row r="310" customFormat="false" ht="15" hidden="false" customHeight="false" outlineLevel="0" collapsed="false">
      <c r="A310" s="0" t="n">
        <v>15989</v>
      </c>
    </row>
    <row r="311" customFormat="false" ht="15" hidden="false" customHeight="false" outlineLevel="0" collapsed="false">
      <c r="A311" s="0" t="n">
        <v>15997</v>
      </c>
    </row>
    <row r="312" customFormat="false" ht="15" hidden="false" customHeight="false" outlineLevel="0" collapsed="false">
      <c r="A312" s="0" t="n">
        <v>16020</v>
      </c>
    </row>
    <row r="313" customFormat="false" ht="15" hidden="false" customHeight="false" outlineLevel="0" collapsed="false">
      <c r="A313" s="0" t="n">
        <v>16047</v>
      </c>
    </row>
    <row r="314" customFormat="false" ht="15" hidden="false" customHeight="false" outlineLevel="0" collapsed="false">
      <c r="A314" s="0" t="n">
        <v>16055</v>
      </c>
    </row>
    <row r="315" customFormat="false" ht="15" hidden="false" customHeight="false" outlineLevel="0" collapsed="false">
      <c r="A315" s="0" t="n">
        <v>16071</v>
      </c>
    </row>
    <row r="316" customFormat="false" ht="15" hidden="false" customHeight="false" outlineLevel="0" collapsed="false">
      <c r="A316" s="0" t="n">
        <v>16110</v>
      </c>
    </row>
    <row r="317" customFormat="false" ht="15" hidden="false" customHeight="false" outlineLevel="0" collapsed="false">
      <c r="A317" s="0" t="n">
        <v>16136</v>
      </c>
    </row>
    <row r="318" customFormat="false" ht="15" hidden="false" customHeight="false" outlineLevel="0" collapsed="false">
      <c r="A318" s="0" t="n">
        <v>16144</v>
      </c>
    </row>
    <row r="319" customFormat="false" ht="15" hidden="false" customHeight="false" outlineLevel="0" collapsed="false">
      <c r="A319" s="0" t="n">
        <v>16152</v>
      </c>
    </row>
    <row r="320" customFormat="false" ht="15" hidden="false" customHeight="false" outlineLevel="0" collapsed="false">
      <c r="A320" s="0" t="n">
        <v>16187</v>
      </c>
    </row>
    <row r="321" customFormat="false" ht="15" hidden="false" customHeight="false" outlineLevel="0" collapsed="false">
      <c r="A321" s="0" t="n">
        <v>16195</v>
      </c>
    </row>
    <row r="322" customFormat="false" ht="15" hidden="false" customHeight="false" outlineLevel="0" collapsed="false">
      <c r="A322" s="0" t="n">
        <v>16209</v>
      </c>
    </row>
    <row r="323" customFormat="false" ht="15" hidden="false" customHeight="false" outlineLevel="0" collapsed="false">
      <c r="A323" s="0" t="n">
        <v>16233</v>
      </c>
    </row>
    <row r="324" customFormat="false" ht="15" hidden="false" customHeight="false" outlineLevel="0" collapsed="false">
      <c r="A324" s="0" t="n">
        <v>16241</v>
      </c>
    </row>
    <row r="325" customFormat="false" ht="15" hidden="false" customHeight="false" outlineLevel="0" collapsed="false">
      <c r="A325" s="0" t="n">
        <v>16284</v>
      </c>
    </row>
    <row r="326" customFormat="false" ht="15" hidden="false" customHeight="false" outlineLevel="0" collapsed="false">
      <c r="A326" s="0" t="n">
        <v>16314</v>
      </c>
    </row>
    <row r="327" customFormat="false" ht="15" hidden="false" customHeight="false" outlineLevel="0" collapsed="false">
      <c r="A327" s="0" t="n">
        <v>16322</v>
      </c>
    </row>
    <row r="328" customFormat="false" ht="15" hidden="false" customHeight="false" outlineLevel="0" collapsed="false">
      <c r="A328" s="0" t="n">
        <v>16349</v>
      </c>
    </row>
    <row r="329" customFormat="false" ht="15" hidden="false" customHeight="false" outlineLevel="0" collapsed="false">
      <c r="A329" s="0" t="n">
        <v>16357</v>
      </c>
    </row>
    <row r="330" customFormat="false" ht="15" hidden="false" customHeight="false" outlineLevel="0" collapsed="false">
      <c r="A330" s="0" t="n">
        <v>16365</v>
      </c>
    </row>
    <row r="331" customFormat="false" ht="15" hidden="false" customHeight="false" outlineLevel="0" collapsed="false">
      <c r="A331" s="0" t="n">
        <v>16381</v>
      </c>
    </row>
    <row r="332" customFormat="false" ht="15" hidden="false" customHeight="false" outlineLevel="0" collapsed="false">
      <c r="A332" s="0" t="n">
        <v>16403</v>
      </c>
    </row>
    <row r="333" customFormat="false" ht="15" hidden="false" customHeight="false" outlineLevel="0" collapsed="false">
      <c r="A333" s="0" t="n">
        <v>16411</v>
      </c>
    </row>
    <row r="334" customFormat="false" ht="15" hidden="false" customHeight="false" outlineLevel="0" collapsed="false">
      <c r="A334" s="0" t="n">
        <v>16438</v>
      </c>
    </row>
    <row r="335" customFormat="false" ht="15" hidden="false" customHeight="false" outlineLevel="0" collapsed="false">
      <c r="A335" s="0" t="n">
        <v>16454</v>
      </c>
    </row>
    <row r="336" customFormat="false" ht="15" hidden="false" customHeight="false" outlineLevel="0" collapsed="false">
      <c r="A336" s="0" t="n">
        <v>16470</v>
      </c>
    </row>
    <row r="337" customFormat="false" ht="15" hidden="false" customHeight="false" outlineLevel="0" collapsed="false">
      <c r="A337" s="0" t="n">
        <v>16500</v>
      </c>
    </row>
    <row r="338" customFormat="false" ht="15" hidden="false" customHeight="false" outlineLevel="0" collapsed="false">
      <c r="A338" s="0" t="n">
        <v>16519</v>
      </c>
    </row>
    <row r="339" customFormat="false" ht="15" hidden="false" customHeight="false" outlineLevel="0" collapsed="false">
      <c r="A339" s="0" t="n">
        <v>16543</v>
      </c>
    </row>
    <row r="340" customFormat="false" ht="15" hidden="false" customHeight="false" outlineLevel="0" collapsed="false">
      <c r="A340" s="0" t="n">
        <v>16560</v>
      </c>
    </row>
    <row r="341" customFormat="false" ht="15" hidden="false" customHeight="false" outlineLevel="0" collapsed="false">
      <c r="A341" s="0" t="n">
        <v>16594</v>
      </c>
    </row>
    <row r="342" customFormat="false" ht="15" hidden="false" customHeight="false" outlineLevel="0" collapsed="false">
      <c r="A342" s="0" t="n">
        <v>16624</v>
      </c>
    </row>
    <row r="343" customFormat="false" ht="15" hidden="false" customHeight="false" outlineLevel="0" collapsed="false">
      <c r="A343" s="0" t="n">
        <v>16632</v>
      </c>
    </row>
    <row r="344" customFormat="false" ht="15" hidden="false" customHeight="false" outlineLevel="0" collapsed="false">
      <c r="A344" s="0" t="n">
        <v>16640</v>
      </c>
    </row>
    <row r="345" customFormat="false" ht="15" hidden="false" customHeight="false" outlineLevel="0" collapsed="false">
      <c r="A345" s="0" t="n">
        <v>20516</v>
      </c>
    </row>
    <row r="346" customFormat="false" ht="15" hidden="false" customHeight="false" outlineLevel="0" collapsed="false">
      <c r="A346" s="0" t="n">
        <v>21083</v>
      </c>
    </row>
    <row r="347" customFormat="false" ht="15" hidden="false" customHeight="false" outlineLevel="0" collapsed="false">
      <c r="A347" s="0" t="n">
        <v>21091</v>
      </c>
    </row>
    <row r="348" customFormat="false" ht="15" hidden="false" customHeight="false" outlineLevel="0" collapsed="false">
      <c r="A348" s="0" t="n">
        <v>21628</v>
      </c>
    </row>
    <row r="349" customFormat="false" ht="15" hidden="false" customHeight="false" outlineLevel="0" collapsed="false">
      <c r="A349" s="0" t="n">
        <v>21636</v>
      </c>
    </row>
    <row r="350" customFormat="false" ht="15" hidden="false" customHeight="false" outlineLevel="0" collapsed="false">
      <c r="A350" s="0" t="n">
        <v>21652</v>
      </c>
    </row>
    <row r="351" customFormat="false" ht="15" hidden="false" customHeight="false" outlineLevel="0" collapsed="false">
      <c r="A351" s="0" t="n">
        <v>21660</v>
      </c>
    </row>
    <row r="352" customFormat="false" ht="15" hidden="false" customHeight="false" outlineLevel="0" collapsed="false">
      <c r="A352" s="0" t="n">
        <v>21679</v>
      </c>
    </row>
    <row r="353" customFormat="false" ht="15" hidden="false" customHeight="false" outlineLevel="0" collapsed="false">
      <c r="A353" s="0" t="n">
        <v>21717</v>
      </c>
    </row>
    <row r="354" customFormat="false" ht="15" hidden="false" customHeight="false" outlineLevel="0" collapsed="false">
      <c r="A354" s="0" t="n">
        <v>23329</v>
      </c>
    </row>
    <row r="355" customFormat="false" ht="15" hidden="false" customHeight="false" outlineLevel="0" collapsed="false">
      <c r="A355" s="0" t="n">
        <v>23841</v>
      </c>
    </row>
    <row r="356" customFormat="false" ht="15" hidden="false" customHeight="false" outlineLevel="0" collapsed="false">
      <c r="A356" s="0" t="n">
        <v>38512</v>
      </c>
    </row>
    <row r="357" customFormat="false" ht="15" hidden="false" customHeight="false" outlineLevel="0" collapsed="false">
      <c r="A357" s="0" t="n">
        <v>38563</v>
      </c>
    </row>
    <row r="358" customFormat="false" ht="15" hidden="false" customHeight="false" outlineLevel="0" collapsed="false">
      <c r="A358" s="0" t="n">
        <v>38571</v>
      </c>
    </row>
    <row r="359" customFormat="false" ht="15" hidden="false" customHeight="false" outlineLevel="0" collapsed="false">
      <c r="A359" s="0" t="n">
        <v>38598</v>
      </c>
    </row>
    <row r="360" customFormat="false" ht="15" hidden="false" customHeight="false" outlineLevel="0" collapsed="false">
      <c r="A360" s="0" t="n">
        <v>38636</v>
      </c>
    </row>
    <row r="361" customFormat="false" ht="15" hidden="false" customHeight="false" outlineLevel="0" collapsed="false">
      <c r="A361" s="0" t="n">
        <v>38652</v>
      </c>
    </row>
    <row r="362" customFormat="false" ht="15" hidden="false" customHeight="false" outlineLevel="0" collapsed="false">
      <c r="A362" s="0" t="n">
        <v>38709</v>
      </c>
    </row>
    <row r="363" customFormat="false" ht="15" hidden="false" customHeight="false" outlineLevel="0" collapsed="false">
      <c r="A363" s="0" t="n">
        <v>38806</v>
      </c>
    </row>
    <row r="364" customFormat="false" ht="15" hidden="false" customHeight="false" outlineLevel="0" collapsed="false">
      <c r="A364" s="0" t="n">
        <v>39055</v>
      </c>
    </row>
    <row r="365" customFormat="false" ht="15" hidden="false" customHeight="false" outlineLevel="0" collapsed="false">
      <c r="A365" s="0" t="n">
        <v>40096</v>
      </c>
    </row>
    <row r="366" customFormat="false" ht="15" hidden="false" customHeight="false" outlineLevel="0" collapsed="false">
      <c r="A366" s="0" t="n">
        <v>40118</v>
      </c>
    </row>
    <row r="367" customFormat="false" ht="15" hidden="false" customHeight="false" outlineLevel="0" collapsed="false">
      <c r="A367" s="0" t="n">
        <v>40320</v>
      </c>
    </row>
    <row r="368" customFormat="false" ht="15" hidden="false" customHeight="false" outlineLevel="0" collapsed="false">
      <c r="A368" s="0" t="n">
        <v>40452</v>
      </c>
    </row>
    <row r="369" customFormat="false" ht="15" hidden="false" customHeight="false" outlineLevel="0" collapsed="false">
      <c r="A369" s="0" t="n">
        <v>42587</v>
      </c>
    </row>
    <row r="370" customFormat="false" ht="15" hidden="false" customHeight="false" outlineLevel="0" collapsed="false">
      <c r="A370" s="0" t="n">
        <v>43133</v>
      </c>
    </row>
    <row r="371" customFormat="false" ht="15" hidden="false" customHeight="false" outlineLevel="0" collapsed="false">
      <c r="A371" s="0" t="n">
        <v>44180</v>
      </c>
    </row>
    <row r="372" customFormat="false" ht="15" hidden="false" customHeight="false" outlineLevel="0" collapsed="false">
      <c r="A372" s="0" t="n">
        <v>44245</v>
      </c>
    </row>
    <row r="373" customFormat="false" ht="15" hidden="false" customHeight="false" outlineLevel="0" collapsed="false">
      <c r="A373" s="0" t="n">
        <v>44253</v>
      </c>
    </row>
    <row r="374" customFormat="false" ht="15" hidden="false" customHeight="false" outlineLevel="0" collapsed="false">
      <c r="A374" s="0" t="n">
        <v>44261</v>
      </c>
    </row>
    <row r="375" customFormat="false" ht="15" hidden="false" customHeight="false" outlineLevel="0" collapsed="false">
      <c r="A375" s="0" t="n">
        <v>44270</v>
      </c>
    </row>
    <row r="376" customFormat="false" ht="15" hidden="false" customHeight="false" outlineLevel="0" collapsed="false">
      <c r="A376" s="0" t="n">
        <v>44938</v>
      </c>
    </row>
    <row r="377" customFormat="false" ht="15" hidden="false" customHeight="false" outlineLevel="0" collapsed="false">
      <c r="A377" s="0" t="n">
        <v>44954</v>
      </c>
    </row>
    <row r="378" customFormat="false" ht="15" hidden="false" customHeight="false" outlineLevel="0" collapsed="false">
      <c r="A378" s="0" t="n">
        <v>45047</v>
      </c>
    </row>
    <row r="379" customFormat="false" ht="15" hidden="false" customHeight="false" outlineLevel="0" collapsed="false">
      <c r="A379" s="0" t="n">
        <v>45055</v>
      </c>
    </row>
    <row r="380" customFormat="false" ht="15" hidden="false" customHeight="false" outlineLevel="0" collapsed="false">
      <c r="A380" s="0" t="n">
        <v>45110</v>
      </c>
    </row>
    <row r="381" customFormat="false" ht="15" hidden="false" customHeight="false" outlineLevel="0" collapsed="false">
      <c r="A381" s="0" t="n">
        <v>45403</v>
      </c>
    </row>
    <row r="382" customFormat="false" ht="15" hidden="false" customHeight="false" outlineLevel="0" collapsed="false">
      <c r="A382" s="0" t="n">
        <v>45829</v>
      </c>
    </row>
    <row r="383" customFormat="false" ht="15" hidden="false" customHeight="false" outlineLevel="0" collapsed="false">
      <c r="A383" s="0" t="n">
        <v>46434</v>
      </c>
    </row>
    <row r="384" customFormat="false" ht="15" hidden="false" customHeight="false" outlineLevel="0" collapsed="false">
      <c r="A384" s="0" t="n">
        <v>46442</v>
      </c>
    </row>
    <row r="385" customFormat="false" ht="15" hidden="false" customHeight="false" outlineLevel="0" collapsed="false">
      <c r="A385" s="0" t="n">
        <v>49549</v>
      </c>
    </row>
    <row r="386" customFormat="false" ht="15" hidden="false" customHeight="false" outlineLevel="0" collapsed="false">
      <c r="A386" s="0" t="n">
        <v>49646</v>
      </c>
    </row>
    <row r="387" customFormat="false" ht="15" hidden="false" customHeight="false" outlineLevel="0" collapsed="false">
      <c r="A387" s="0" t="n">
        <v>49689</v>
      </c>
    </row>
    <row r="388" customFormat="false" ht="15" hidden="false" customHeight="false" outlineLevel="0" collapsed="false">
      <c r="A388" s="0" t="n">
        <v>49786</v>
      </c>
    </row>
    <row r="389" customFormat="false" ht="15" hidden="false" customHeight="false" outlineLevel="0" collapsed="false">
      <c r="A389" s="0" t="n">
        <v>49794</v>
      </c>
    </row>
    <row r="390" customFormat="false" ht="15" hidden="false" customHeight="false" outlineLevel="0" collapsed="false">
      <c r="A390" s="0" t="n">
        <v>49832</v>
      </c>
    </row>
    <row r="391" customFormat="false" ht="15" hidden="false" customHeight="false" outlineLevel="0" collapsed="false">
      <c r="A391" s="0" t="n">
        <v>49859</v>
      </c>
    </row>
    <row r="392" customFormat="false" ht="15" hidden="false" customHeight="false" outlineLevel="0" collapsed="false">
      <c r="A392" s="0" t="n">
        <v>49875</v>
      </c>
    </row>
    <row r="393" customFormat="false" ht="15" hidden="false" customHeight="false" outlineLevel="0" collapsed="false">
      <c r="A393" s="0" t="n">
        <v>49883</v>
      </c>
    </row>
    <row r="394" customFormat="false" ht="15" hidden="false" customHeight="false" outlineLevel="0" collapsed="false">
      <c r="A394" s="0" t="n">
        <v>49964</v>
      </c>
    </row>
    <row r="395" customFormat="false" ht="15" hidden="false" customHeight="false" outlineLevel="0" collapsed="false">
      <c r="A395" s="0" t="n">
        <v>60194</v>
      </c>
    </row>
    <row r="396" customFormat="false" ht="15" hidden="false" customHeight="false" outlineLevel="0" collapsed="false">
      <c r="A396" s="0" t="n">
        <v>60208</v>
      </c>
    </row>
    <row r="397" customFormat="false" ht="15" hidden="false" customHeight="false" outlineLevel="0" collapsed="false">
      <c r="A397" s="0" t="n">
        <v>60224</v>
      </c>
    </row>
    <row r="398" customFormat="false" ht="15" hidden="false" customHeight="false" outlineLevel="0" collapsed="false">
      <c r="A398" s="0" t="n">
        <v>61298</v>
      </c>
    </row>
    <row r="399" customFormat="false" ht="15" hidden="false" customHeight="false" outlineLevel="0" collapsed="false">
      <c r="A399" s="0" t="n">
        <v>61441</v>
      </c>
    </row>
    <row r="400" customFormat="false" ht="15" hidden="false" customHeight="false" outlineLevel="0" collapsed="false">
      <c r="A400" s="0" t="n">
        <v>64149</v>
      </c>
    </row>
    <row r="401" customFormat="false" ht="15" hidden="false" customHeight="false" outlineLevel="0" collapsed="false">
      <c r="A401" s="0" t="n">
        <v>65498</v>
      </c>
    </row>
    <row r="402" customFormat="false" ht="15" hidden="false" customHeight="false" outlineLevel="0" collapsed="false">
      <c r="A402" s="0" t="n">
        <v>65587</v>
      </c>
    </row>
    <row r="403" customFormat="false" ht="15" hidden="false" customHeight="false" outlineLevel="0" collapsed="false">
      <c r="A403" s="0" t="n">
        <v>68713</v>
      </c>
    </row>
    <row r="404" customFormat="false" ht="15" hidden="false" customHeight="false" outlineLevel="0" collapsed="false">
      <c r="A404" s="0" t="n">
        <v>69140</v>
      </c>
    </row>
    <row r="405" customFormat="false" ht="15" hidden="false" customHeight="false" outlineLevel="0" collapsed="false">
      <c r="A405" s="0" t="n">
        <v>69205</v>
      </c>
    </row>
    <row r="406" customFormat="false" ht="15" hidden="false" customHeight="false" outlineLevel="0" collapsed="false">
      <c r="A406" s="0" t="n">
        <v>69230</v>
      </c>
    </row>
    <row r="407" customFormat="false" ht="15" hidden="false" customHeight="false" outlineLevel="0" collapsed="false">
      <c r="A407" s="0" t="n">
        <v>69264</v>
      </c>
    </row>
    <row r="408" customFormat="false" ht="15" hidden="false" customHeight="false" outlineLevel="0" collapsed="false">
      <c r="A408" s="0" t="n">
        <v>69280</v>
      </c>
    </row>
    <row r="409" customFormat="false" ht="15" hidden="false" customHeight="false" outlineLevel="0" collapsed="false">
      <c r="A409" s="0" t="n">
        <v>69299</v>
      </c>
    </row>
    <row r="410" customFormat="false" ht="15" hidden="false" customHeight="false" outlineLevel="0" collapsed="false">
      <c r="A410" s="0" t="n">
        <v>69302</v>
      </c>
    </row>
    <row r="411" customFormat="false" ht="15" hidden="false" customHeight="false" outlineLevel="0" collapsed="false">
      <c r="A411" s="0" t="n">
        <v>69329</v>
      </c>
    </row>
    <row r="412" customFormat="false" ht="15" hidden="false" customHeight="false" outlineLevel="0" collapsed="false">
      <c r="A412" s="0" t="n">
        <v>69400</v>
      </c>
    </row>
    <row r="413" customFormat="false" ht="15" hidden="false" customHeight="false" outlineLevel="0" collapsed="false">
      <c r="A413" s="0" t="n">
        <v>69469</v>
      </c>
    </row>
    <row r="414" customFormat="false" ht="15" hidden="false" customHeight="false" outlineLevel="0" collapsed="false">
      <c r="A414" s="0" t="n">
        <v>69493</v>
      </c>
    </row>
    <row r="415" customFormat="false" ht="15" hidden="false" customHeight="false" outlineLevel="0" collapsed="false">
      <c r="A415" s="0" t="n">
        <v>69523</v>
      </c>
    </row>
    <row r="416" customFormat="false" ht="15" hidden="false" customHeight="false" outlineLevel="0" collapsed="false">
      <c r="A416" s="0" t="n">
        <v>69558</v>
      </c>
    </row>
    <row r="417" customFormat="false" ht="15" hidden="false" customHeight="false" outlineLevel="0" collapsed="false">
      <c r="A417" s="0" t="n">
        <v>69582</v>
      </c>
    </row>
    <row r="418" customFormat="false" ht="15" hidden="false" customHeight="false" outlineLevel="0" collapsed="false">
      <c r="A418" s="0" t="n">
        <v>69612</v>
      </c>
    </row>
    <row r="419" customFormat="false" ht="15" hidden="false" customHeight="false" outlineLevel="0" collapsed="false">
      <c r="A419" s="0" t="n">
        <v>71765</v>
      </c>
    </row>
    <row r="420" customFormat="false" ht="15" hidden="false" customHeight="false" outlineLevel="0" collapsed="false">
      <c r="A420" s="0" t="n">
        <v>71773</v>
      </c>
    </row>
    <row r="421" customFormat="false" ht="15" hidden="false" customHeight="false" outlineLevel="0" collapsed="false">
      <c r="A421" s="0" t="n">
        <v>71790</v>
      </c>
    </row>
    <row r="422" customFormat="false" ht="15" hidden="false" customHeight="false" outlineLevel="0" collapsed="false">
      <c r="A422" s="0" t="n">
        <v>71838</v>
      </c>
    </row>
    <row r="423" customFormat="false" ht="15" hidden="false" customHeight="false" outlineLevel="0" collapsed="false">
      <c r="A423" s="0" t="n">
        <v>75116</v>
      </c>
    </row>
    <row r="424" customFormat="false" ht="15" hidden="false" customHeight="false" outlineLevel="0" collapsed="false">
      <c r="A424" s="0" t="n">
        <v>75680</v>
      </c>
    </row>
    <row r="425" customFormat="false" ht="15" hidden="false" customHeight="false" outlineLevel="0" collapsed="false">
      <c r="A425" s="0" t="n">
        <v>75698</v>
      </c>
    </row>
    <row r="426" customFormat="false" ht="15" hidden="false" customHeight="false" outlineLevel="0" collapsed="false">
      <c r="A426" s="0" t="n">
        <v>75710</v>
      </c>
    </row>
    <row r="427" customFormat="false" ht="15" hidden="false" customHeight="false" outlineLevel="0" collapsed="false">
      <c r="A427" s="0" t="n">
        <v>75728</v>
      </c>
    </row>
    <row r="428" customFormat="false" ht="15" hidden="false" customHeight="false" outlineLevel="0" collapsed="false">
      <c r="A428" s="0" t="n">
        <v>76180</v>
      </c>
    </row>
    <row r="429" customFormat="false" ht="15" hidden="false" customHeight="false" outlineLevel="0" collapsed="false">
      <c r="A429" s="0" t="n">
        <v>76198</v>
      </c>
    </row>
    <row r="430" customFormat="false" ht="15" hidden="false" customHeight="false" outlineLevel="0" collapsed="false">
      <c r="A430" s="0" t="n">
        <v>76201</v>
      </c>
    </row>
    <row r="431" customFormat="false" ht="15" hidden="false" customHeight="false" outlineLevel="0" collapsed="false">
      <c r="A431" s="0" t="n">
        <v>76228</v>
      </c>
    </row>
    <row r="432" customFormat="false" ht="15" hidden="false" customHeight="false" outlineLevel="0" collapsed="false">
      <c r="A432" s="0" t="n">
        <v>76929</v>
      </c>
    </row>
    <row r="433" customFormat="false" ht="15" hidden="false" customHeight="false" outlineLevel="0" collapsed="false">
      <c r="A433" s="0" t="n">
        <v>77895</v>
      </c>
    </row>
    <row r="434" customFormat="false" ht="15" hidden="false" customHeight="false" outlineLevel="0" collapsed="false">
      <c r="A434" s="0" t="n">
        <v>77925</v>
      </c>
    </row>
    <row r="435" customFormat="false" ht="15" hidden="false" customHeight="false" outlineLevel="0" collapsed="false">
      <c r="A435" s="0" t="n">
        <v>78280</v>
      </c>
    </row>
    <row r="436" customFormat="false" ht="15" hidden="false" customHeight="false" outlineLevel="0" collapsed="false">
      <c r="A436" s="0" t="n">
        <v>78298</v>
      </c>
    </row>
    <row r="437" customFormat="false" ht="15" hidden="false" customHeight="false" outlineLevel="0" collapsed="false">
      <c r="A437" s="0" t="n">
        <v>82252</v>
      </c>
    </row>
    <row r="438" customFormat="false" ht="15" hidden="false" customHeight="false" outlineLevel="0" collapsed="false">
      <c r="A438" s="0" t="n">
        <v>82260</v>
      </c>
    </row>
    <row r="439" customFormat="false" ht="15" hidden="false" customHeight="false" outlineLevel="0" collapsed="false">
      <c r="A439" s="0" t="n">
        <v>83607</v>
      </c>
    </row>
    <row r="440" customFormat="false" ht="15" hidden="false" customHeight="false" outlineLevel="0" collapsed="false">
      <c r="A440" s="0" t="n">
        <v>84336</v>
      </c>
    </row>
    <row r="441" customFormat="false" ht="15" hidden="false" customHeight="false" outlineLevel="0" collapsed="false">
      <c r="A441" s="0" t="n">
        <v>84344</v>
      </c>
    </row>
    <row r="442" customFormat="false" ht="15" hidden="false" customHeight="false" outlineLevel="0" collapsed="false">
      <c r="A442" s="0" t="n">
        <v>91421</v>
      </c>
    </row>
    <row r="443" customFormat="false" ht="15" hidden="false" customHeight="false" outlineLevel="0" collapsed="false">
      <c r="A443" s="0" t="n">
        <v>91448</v>
      </c>
    </row>
    <row r="444" customFormat="false" ht="15" hidden="false" customHeight="false" outlineLevel="0" collapsed="false">
      <c r="A444" s="0" t="n">
        <v>91456</v>
      </c>
    </row>
    <row r="445" customFormat="false" ht="15" hidden="false" customHeight="false" outlineLevel="0" collapsed="false">
      <c r="A445" s="0" t="n">
        <v>94420</v>
      </c>
    </row>
    <row r="446" customFormat="false" ht="15" hidden="false" customHeight="false" outlineLevel="0" collapsed="false">
      <c r="A446" s="0" t="n">
        <v>94439</v>
      </c>
    </row>
    <row r="447" customFormat="false" ht="15" hidden="false" customHeight="false" outlineLevel="0" collapsed="false">
      <c r="A447" s="0" t="n">
        <v>96784</v>
      </c>
    </row>
    <row r="448" customFormat="false" ht="15" hidden="false" customHeight="false" outlineLevel="0" collapsed="false">
      <c r="A448" s="0" t="n">
        <v>96865</v>
      </c>
    </row>
    <row r="449" customFormat="false" ht="15" hidden="false" customHeight="false" outlineLevel="0" collapsed="false">
      <c r="A449" s="0" t="n">
        <v>97004</v>
      </c>
    </row>
    <row r="450" customFormat="false" ht="15" hidden="false" customHeight="false" outlineLevel="0" collapsed="false">
      <c r="A450" s="0" t="n">
        <v>97012</v>
      </c>
    </row>
    <row r="451" customFormat="false" ht="15" hidden="false" customHeight="false" outlineLevel="0" collapsed="false">
      <c r="A451" s="0" t="n">
        <v>102326</v>
      </c>
    </row>
    <row r="452" customFormat="false" ht="15" hidden="false" customHeight="false" outlineLevel="0" collapsed="false">
      <c r="A452" s="0" t="n">
        <v>104230</v>
      </c>
    </row>
    <row r="453" customFormat="false" ht="15" hidden="false" customHeight="false" outlineLevel="0" collapsed="false">
      <c r="A453" s="0" t="n">
        <v>104248</v>
      </c>
    </row>
    <row r="454" customFormat="false" ht="15" hidden="false" customHeight="false" outlineLevel="0" collapsed="false">
      <c r="A454" s="0" t="n">
        <v>106020</v>
      </c>
    </row>
    <row r="455" customFormat="false" ht="15" hidden="false" customHeight="false" outlineLevel="0" collapsed="false">
      <c r="A455" s="0" t="n">
        <v>107263</v>
      </c>
    </row>
    <row r="456" customFormat="false" ht="15" hidden="false" customHeight="false" outlineLevel="0" collapsed="false">
      <c r="A456" s="0" t="n">
        <v>109436</v>
      </c>
    </row>
    <row r="457" customFormat="false" ht="15" hidden="false" customHeight="false" outlineLevel="0" collapsed="false">
      <c r="A457" s="0" t="n">
        <v>109444</v>
      </c>
    </row>
    <row r="458" customFormat="false" ht="15" hidden="false" customHeight="false" outlineLevel="0" collapsed="false">
      <c r="A458" s="0" t="n">
        <v>114553</v>
      </c>
    </row>
    <row r="459" customFormat="false" ht="15" hidden="false" customHeight="false" outlineLevel="0" collapsed="false">
      <c r="A459" s="0" t="n">
        <v>114561</v>
      </c>
    </row>
    <row r="460" customFormat="false" ht="15" hidden="false" customHeight="false" outlineLevel="0" collapsed="false">
      <c r="A460" s="0" t="n">
        <v>115231</v>
      </c>
    </row>
    <row r="461" customFormat="false" ht="15" hidden="false" customHeight="false" outlineLevel="0" collapsed="false">
      <c r="A461" s="0" t="n">
        <v>116033</v>
      </c>
    </row>
    <row r="462" customFormat="false" ht="15" hidden="false" customHeight="false" outlineLevel="0" collapsed="false">
      <c r="A462" s="0" t="n">
        <v>117587</v>
      </c>
    </row>
    <row r="463" customFormat="false" ht="15" hidden="false" customHeight="false" outlineLevel="0" collapsed="false">
      <c r="A463" s="0" t="n">
        <v>117595</v>
      </c>
    </row>
    <row r="464" customFormat="false" ht="15" hidden="false" customHeight="false" outlineLevel="0" collapsed="false">
      <c r="A464" s="0" t="n">
        <v>118524</v>
      </c>
    </row>
    <row r="465" customFormat="false" ht="15" hidden="false" customHeight="false" outlineLevel="0" collapsed="false">
      <c r="A465" s="0" t="n">
        <v>118532</v>
      </c>
    </row>
    <row r="466" customFormat="false" ht="15" hidden="false" customHeight="false" outlineLevel="0" collapsed="false">
      <c r="A466" s="0" t="n">
        <v>118540</v>
      </c>
    </row>
    <row r="467" customFormat="false" ht="15" hidden="false" customHeight="false" outlineLevel="0" collapsed="false">
      <c r="A467" s="0" t="n">
        <v>118559</v>
      </c>
    </row>
    <row r="468" customFormat="false" ht="15" hidden="false" customHeight="false" outlineLevel="0" collapsed="false">
      <c r="A468" s="0" t="n">
        <v>119202</v>
      </c>
    </row>
    <row r="469" customFormat="false" ht="15" hidden="false" customHeight="false" outlineLevel="0" collapsed="false">
      <c r="A469" s="0" t="n">
        <v>119229</v>
      </c>
    </row>
    <row r="470" customFormat="false" ht="15" hidden="false" customHeight="false" outlineLevel="0" collapsed="false">
      <c r="A470" s="0" t="n">
        <v>119237</v>
      </c>
    </row>
    <row r="471" customFormat="false" ht="15" hidden="false" customHeight="false" outlineLevel="0" collapsed="false">
      <c r="A471" s="0" t="n">
        <v>120936</v>
      </c>
    </row>
    <row r="472" customFormat="false" ht="15" hidden="false" customHeight="false" outlineLevel="0" collapsed="false">
      <c r="A472" s="0" t="n">
        <v>120979</v>
      </c>
    </row>
    <row r="473" customFormat="false" ht="15" hidden="false" customHeight="false" outlineLevel="0" collapsed="false">
      <c r="A473" s="0" t="n">
        <v>123013</v>
      </c>
    </row>
    <row r="474" customFormat="false" ht="15" hidden="false" customHeight="false" outlineLevel="0" collapsed="false">
      <c r="A474" s="0" t="n">
        <v>123021</v>
      </c>
    </row>
    <row r="475" customFormat="false" ht="15" hidden="false" customHeight="false" outlineLevel="0" collapsed="false">
      <c r="A475" s="0" t="n">
        <v>123986</v>
      </c>
    </row>
    <row r="476" customFormat="false" ht="15" hidden="false" customHeight="false" outlineLevel="0" collapsed="false">
      <c r="A476" s="0" t="n">
        <v>123994</v>
      </c>
    </row>
    <row r="477" customFormat="false" ht="15" hidden="false" customHeight="false" outlineLevel="0" collapsed="false">
      <c r="A477" s="0" t="n">
        <v>124001</v>
      </c>
    </row>
    <row r="478" customFormat="false" ht="15" hidden="false" customHeight="false" outlineLevel="0" collapsed="false">
      <c r="A478" s="0" t="n">
        <v>124010</v>
      </c>
    </row>
    <row r="479" customFormat="false" ht="15" hidden="false" customHeight="false" outlineLevel="0" collapsed="false">
      <c r="A479" s="0" t="n">
        <v>124028</v>
      </c>
    </row>
    <row r="480" customFormat="false" ht="15" hidden="false" customHeight="false" outlineLevel="0" collapsed="false">
      <c r="A480" s="0" t="n">
        <v>124044</v>
      </c>
    </row>
    <row r="481" customFormat="false" ht="15" hidden="false" customHeight="false" outlineLevel="0" collapsed="false">
      <c r="A481" s="0" t="n">
        <v>124052</v>
      </c>
    </row>
    <row r="482" customFormat="false" ht="15" hidden="false" customHeight="false" outlineLevel="0" collapsed="false">
      <c r="A482" s="0" t="n">
        <v>124060</v>
      </c>
    </row>
    <row r="483" customFormat="false" ht="15" hidden="false" customHeight="false" outlineLevel="0" collapsed="false">
      <c r="A483" s="0" t="n">
        <v>124079</v>
      </c>
    </row>
    <row r="484" customFormat="false" ht="15" hidden="false" customHeight="false" outlineLevel="0" collapsed="false">
      <c r="A484" s="0" t="n">
        <v>124087</v>
      </c>
    </row>
    <row r="485" customFormat="false" ht="15" hidden="false" customHeight="false" outlineLevel="0" collapsed="false">
      <c r="A485" s="0" t="n">
        <v>124109</v>
      </c>
    </row>
    <row r="486" customFormat="false" ht="15" hidden="false" customHeight="false" outlineLevel="0" collapsed="false">
      <c r="A486" s="0" t="n">
        <v>124850</v>
      </c>
    </row>
    <row r="487" customFormat="false" ht="15" hidden="false" customHeight="false" outlineLevel="0" collapsed="false">
      <c r="A487" s="0" t="n">
        <v>124869</v>
      </c>
    </row>
    <row r="488" customFormat="false" ht="15" hidden="false" customHeight="false" outlineLevel="0" collapsed="false">
      <c r="A488" s="0" t="n">
        <v>124907</v>
      </c>
    </row>
    <row r="489" customFormat="false" ht="15" hidden="false" customHeight="false" outlineLevel="0" collapsed="false">
      <c r="A489" s="0" t="n">
        <v>124923</v>
      </c>
    </row>
    <row r="490" customFormat="false" ht="15" hidden="false" customHeight="false" outlineLevel="0" collapsed="false">
      <c r="A490" s="0" t="n">
        <v>127701</v>
      </c>
    </row>
    <row r="491" customFormat="false" ht="15" hidden="false" customHeight="false" outlineLevel="0" collapsed="false">
      <c r="A491" s="0" t="n">
        <v>127728</v>
      </c>
    </row>
    <row r="492" customFormat="false" ht="15" hidden="false" customHeight="false" outlineLevel="0" collapsed="false">
      <c r="A492" s="0" t="n">
        <v>128228</v>
      </c>
    </row>
    <row r="493" customFormat="false" ht="15" hidden="false" customHeight="false" outlineLevel="0" collapsed="false">
      <c r="A493" s="0" t="n">
        <v>129232</v>
      </c>
    </row>
    <row r="494" customFormat="false" ht="15" hidden="false" customHeight="false" outlineLevel="0" collapsed="false">
      <c r="A494" s="0" t="n">
        <v>129240</v>
      </c>
    </row>
    <row r="495" customFormat="false" ht="15" hidden="false" customHeight="false" outlineLevel="0" collapsed="false">
      <c r="A495" s="0" t="n">
        <v>129259</v>
      </c>
    </row>
    <row r="496" customFormat="false" ht="15" hidden="false" customHeight="false" outlineLevel="0" collapsed="false">
      <c r="A496" s="0" t="n">
        <v>131822</v>
      </c>
    </row>
    <row r="497" customFormat="false" ht="15" hidden="false" customHeight="false" outlineLevel="0" collapsed="false">
      <c r="A497" s="0" t="n">
        <v>131830</v>
      </c>
    </row>
    <row r="498" customFormat="false" ht="15" hidden="false" customHeight="false" outlineLevel="0" collapsed="false">
      <c r="A498" s="0" t="n">
        <v>131849</v>
      </c>
    </row>
    <row r="499" customFormat="false" ht="15" hidden="false" customHeight="false" outlineLevel="0" collapsed="false">
      <c r="A499" s="0" t="n">
        <v>131857</v>
      </c>
    </row>
    <row r="500" customFormat="false" ht="15" hidden="false" customHeight="false" outlineLevel="0" collapsed="false">
      <c r="A500" s="0" t="n">
        <v>137758</v>
      </c>
    </row>
    <row r="501" customFormat="false" ht="15" hidden="false" customHeight="false" outlineLevel="0" collapsed="false">
      <c r="A501" s="0" t="n">
        <v>137766</v>
      </c>
    </row>
    <row r="502" customFormat="false" ht="15" hidden="false" customHeight="false" outlineLevel="0" collapsed="false">
      <c r="A502" s="0" t="n">
        <v>137774</v>
      </c>
    </row>
    <row r="503" customFormat="false" ht="15" hidden="false" customHeight="false" outlineLevel="0" collapsed="false">
      <c r="A503" s="0" t="n">
        <v>140805</v>
      </c>
    </row>
    <row r="504" customFormat="false" ht="15" hidden="false" customHeight="false" outlineLevel="0" collapsed="false">
      <c r="A504" s="0" t="n">
        <v>140813</v>
      </c>
    </row>
    <row r="505" customFormat="false" ht="15" hidden="false" customHeight="false" outlineLevel="0" collapsed="false">
      <c r="A505" s="0" t="n">
        <v>140988</v>
      </c>
    </row>
    <row r="506" customFormat="false" ht="15" hidden="false" customHeight="false" outlineLevel="0" collapsed="false">
      <c r="A506" s="0" t="n">
        <v>142166</v>
      </c>
    </row>
    <row r="507" customFormat="false" ht="15" hidden="false" customHeight="false" outlineLevel="0" collapsed="false">
      <c r="A507" s="0" t="n">
        <v>145696</v>
      </c>
    </row>
    <row r="508" customFormat="false" ht="15" hidden="false" customHeight="false" outlineLevel="0" collapsed="false">
      <c r="A508" s="0" t="n">
        <v>145718</v>
      </c>
    </row>
    <row r="509" customFormat="false" ht="15" hidden="false" customHeight="false" outlineLevel="0" collapsed="false">
      <c r="A509" s="0" t="n">
        <v>145726</v>
      </c>
    </row>
    <row r="510" customFormat="false" ht="15" hidden="false" customHeight="false" outlineLevel="0" collapsed="false">
      <c r="A510" s="0" t="n">
        <v>145734</v>
      </c>
    </row>
    <row r="511" customFormat="false" ht="15" hidden="false" customHeight="false" outlineLevel="0" collapsed="false">
      <c r="A511" s="0" t="n">
        <v>145742</v>
      </c>
    </row>
    <row r="512" customFormat="false" ht="15" hidden="false" customHeight="false" outlineLevel="0" collapsed="false">
      <c r="A512" s="0" t="n">
        <v>145750</v>
      </c>
    </row>
    <row r="513" customFormat="false" ht="15" hidden="false" customHeight="false" outlineLevel="0" collapsed="false">
      <c r="A513" s="0" t="n">
        <v>145769</v>
      </c>
    </row>
    <row r="514" customFormat="false" ht="15" hidden="false" customHeight="false" outlineLevel="0" collapsed="false">
      <c r="A514" s="0" t="n">
        <v>148075</v>
      </c>
    </row>
    <row r="515" customFormat="false" ht="15" hidden="false" customHeight="false" outlineLevel="0" collapsed="false">
      <c r="A515" s="0" t="n">
        <v>148091</v>
      </c>
    </row>
    <row r="516" customFormat="false" ht="15" hidden="false" customHeight="false" outlineLevel="0" collapsed="false">
      <c r="A516" s="0" t="n">
        <v>148113</v>
      </c>
    </row>
    <row r="517" customFormat="false" ht="15" hidden="false" customHeight="false" outlineLevel="0" collapsed="false">
      <c r="A517" s="0" t="n">
        <v>148121</v>
      </c>
    </row>
    <row r="518" customFormat="false" ht="15" hidden="false" customHeight="false" outlineLevel="0" collapsed="false">
      <c r="A518" s="0" t="n">
        <v>148130</v>
      </c>
    </row>
    <row r="519" customFormat="false" ht="15" hidden="false" customHeight="false" outlineLevel="0" collapsed="false">
      <c r="A519" s="0" t="n">
        <v>153877</v>
      </c>
    </row>
    <row r="520" customFormat="false" ht="15" hidden="false" customHeight="false" outlineLevel="0" collapsed="false">
      <c r="A520" s="0" t="n">
        <v>153958</v>
      </c>
    </row>
    <row r="521" customFormat="false" ht="15" hidden="false" customHeight="false" outlineLevel="0" collapsed="false">
      <c r="A521" s="0" t="n">
        <v>154016</v>
      </c>
    </row>
    <row r="522" customFormat="false" ht="15" hidden="false" customHeight="false" outlineLevel="0" collapsed="false">
      <c r="A522" s="0" t="n">
        <v>154040</v>
      </c>
    </row>
    <row r="523" customFormat="false" ht="15" hidden="false" customHeight="false" outlineLevel="0" collapsed="false">
      <c r="A523" s="0" t="n">
        <v>154059</v>
      </c>
    </row>
    <row r="524" customFormat="false" ht="15" hidden="false" customHeight="false" outlineLevel="0" collapsed="false">
      <c r="A524" s="0" t="n">
        <v>154156</v>
      </c>
    </row>
    <row r="525" customFormat="false" ht="15" hidden="false" customHeight="false" outlineLevel="0" collapsed="false">
      <c r="A525" s="0" t="n">
        <v>154164</v>
      </c>
    </row>
    <row r="526" customFormat="false" ht="15" hidden="false" customHeight="false" outlineLevel="0" collapsed="false">
      <c r="A526" s="0" t="n">
        <v>154172</v>
      </c>
    </row>
    <row r="527" customFormat="false" ht="15" hidden="false" customHeight="false" outlineLevel="0" collapsed="false">
      <c r="A527" s="0" t="n">
        <v>154180</v>
      </c>
    </row>
    <row r="528" customFormat="false" ht="15" hidden="false" customHeight="false" outlineLevel="0" collapsed="false">
      <c r="A528" s="0" t="n">
        <v>154695</v>
      </c>
    </row>
    <row r="529" customFormat="false" ht="15" hidden="false" customHeight="false" outlineLevel="0" collapsed="false">
      <c r="A529" s="0" t="n">
        <v>154938</v>
      </c>
    </row>
    <row r="530" customFormat="false" ht="15" hidden="false" customHeight="false" outlineLevel="0" collapsed="false">
      <c r="A530" s="0" t="n">
        <v>154970</v>
      </c>
    </row>
    <row r="531" customFormat="false" ht="15" hidden="false" customHeight="false" outlineLevel="0" collapsed="false">
      <c r="A531" s="0" t="n">
        <v>154989</v>
      </c>
    </row>
    <row r="532" customFormat="false" ht="15" hidden="false" customHeight="false" outlineLevel="0" collapsed="false">
      <c r="A532" s="0" t="n">
        <v>155128</v>
      </c>
    </row>
    <row r="533" customFormat="false" ht="15" hidden="false" customHeight="false" outlineLevel="0" collapsed="false">
      <c r="A533" s="0" t="n">
        <v>156000</v>
      </c>
    </row>
    <row r="534" customFormat="false" ht="15" hidden="false" customHeight="false" outlineLevel="0" collapsed="false">
      <c r="A534" s="0" t="n">
        <v>156230</v>
      </c>
    </row>
    <row r="535" customFormat="false" ht="15" hidden="false" customHeight="false" outlineLevel="0" collapsed="false">
      <c r="A535" s="0" t="n">
        <v>156345</v>
      </c>
    </row>
    <row r="536" customFormat="false" ht="15" hidden="false" customHeight="false" outlineLevel="0" collapsed="false">
      <c r="A536" s="0" t="n">
        <v>156353</v>
      </c>
    </row>
    <row r="537" customFormat="false" ht="15" hidden="false" customHeight="false" outlineLevel="0" collapsed="false">
      <c r="A537" s="0" t="n">
        <v>156361</v>
      </c>
    </row>
    <row r="538" customFormat="false" ht="15" hidden="false" customHeight="false" outlineLevel="0" collapsed="false">
      <c r="A538" s="0" t="n">
        <v>156370</v>
      </c>
    </row>
    <row r="539" customFormat="false" ht="15" hidden="false" customHeight="false" outlineLevel="0" collapsed="false">
      <c r="A539" s="0" t="n">
        <v>156388</v>
      </c>
    </row>
    <row r="540" customFormat="false" ht="15" hidden="false" customHeight="false" outlineLevel="0" collapsed="false">
      <c r="A540" s="0" t="n">
        <v>156434</v>
      </c>
    </row>
    <row r="541" customFormat="false" ht="15" hidden="false" customHeight="false" outlineLevel="0" collapsed="false">
      <c r="A541" s="0" t="n">
        <v>157236</v>
      </c>
    </row>
    <row r="542" customFormat="false" ht="15" hidden="false" customHeight="false" outlineLevel="0" collapsed="false">
      <c r="A542" s="0" t="n">
        <v>157244</v>
      </c>
    </row>
    <row r="543" customFormat="false" ht="15" hidden="false" customHeight="false" outlineLevel="0" collapsed="false">
      <c r="A543" s="0" t="n">
        <v>157252</v>
      </c>
    </row>
    <row r="544" customFormat="false" ht="15" hidden="false" customHeight="false" outlineLevel="0" collapsed="false">
      <c r="A544" s="0" t="n">
        <v>157260</v>
      </c>
    </row>
    <row r="545" customFormat="false" ht="15" hidden="false" customHeight="false" outlineLevel="0" collapsed="false">
      <c r="A545" s="0" t="n">
        <v>158313</v>
      </c>
    </row>
    <row r="546" customFormat="false" ht="15" hidden="false" customHeight="false" outlineLevel="0" collapsed="false">
      <c r="A546" s="0" t="n">
        <v>158330</v>
      </c>
    </row>
    <row r="547" customFormat="false" ht="15" hidden="false" customHeight="false" outlineLevel="0" collapsed="false">
      <c r="A547" s="0" t="n">
        <v>158348</v>
      </c>
    </row>
    <row r="548" customFormat="false" ht="15" hidden="false" customHeight="false" outlineLevel="0" collapsed="false">
      <c r="A548" s="0" t="n">
        <v>158364</v>
      </c>
    </row>
    <row r="549" customFormat="false" ht="15" hidden="false" customHeight="false" outlineLevel="0" collapsed="false">
      <c r="A549" s="0" t="n">
        <v>158372</v>
      </c>
    </row>
    <row r="550" customFormat="false" ht="15" hidden="false" customHeight="false" outlineLevel="0" collapsed="false">
      <c r="A550" s="0" t="n">
        <v>158380</v>
      </c>
    </row>
    <row r="551" customFormat="false" ht="15" hidden="false" customHeight="false" outlineLevel="0" collapsed="false">
      <c r="A551" s="0" t="n">
        <v>158399</v>
      </c>
    </row>
    <row r="552" customFormat="false" ht="15" hidden="false" customHeight="false" outlineLevel="0" collapsed="false">
      <c r="A552" s="0" t="n">
        <v>158615</v>
      </c>
    </row>
    <row r="553" customFormat="false" ht="15" hidden="false" customHeight="false" outlineLevel="0" collapsed="false">
      <c r="A553" s="0" t="n">
        <v>158623</v>
      </c>
    </row>
    <row r="554" customFormat="false" ht="15" hidden="false" customHeight="false" outlineLevel="0" collapsed="false">
      <c r="A554" s="0" t="n">
        <v>158658</v>
      </c>
    </row>
    <row r="555" customFormat="false" ht="15" hidden="false" customHeight="false" outlineLevel="0" collapsed="false">
      <c r="A555" s="0" t="n">
        <v>158810</v>
      </c>
    </row>
    <row r="556" customFormat="false" ht="15" hidden="false" customHeight="false" outlineLevel="0" collapsed="false">
      <c r="A556" s="0" t="n">
        <v>158828</v>
      </c>
    </row>
    <row r="557" customFormat="false" ht="15" hidden="false" customHeight="false" outlineLevel="0" collapsed="false">
      <c r="A557" s="0" t="n">
        <v>158836</v>
      </c>
    </row>
    <row r="558" customFormat="false" ht="15" hidden="false" customHeight="false" outlineLevel="0" collapsed="false">
      <c r="A558" s="0" t="n">
        <v>158844</v>
      </c>
    </row>
    <row r="559" customFormat="false" ht="15" hidden="false" customHeight="false" outlineLevel="0" collapsed="false">
      <c r="A559" s="0" t="n">
        <v>159697</v>
      </c>
    </row>
    <row r="560" customFormat="false" ht="15" hidden="false" customHeight="false" outlineLevel="0" collapsed="false">
      <c r="A560" s="0" t="n">
        <v>159700</v>
      </c>
    </row>
    <row r="561" customFormat="false" ht="15" hidden="false" customHeight="false" outlineLevel="0" collapsed="false">
      <c r="A561" s="0" t="n">
        <v>160040</v>
      </c>
    </row>
    <row r="562" customFormat="false" ht="15" hidden="false" customHeight="false" outlineLevel="0" collapsed="false">
      <c r="A562" s="0" t="n">
        <v>163554</v>
      </c>
    </row>
    <row r="563" customFormat="false" ht="15" hidden="false" customHeight="false" outlineLevel="0" collapsed="false">
      <c r="A563" s="0" t="n">
        <v>163643</v>
      </c>
    </row>
    <row r="564" customFormat="false" ht="15" hidden="false" customHeight="false" outlineLevel="0" collapsed="false">
      <c r="A564" s="0" t="n">
        <v>163651</v>
      </c>
    </row>
    <row r="565" customFormat="false" ht="15" hidden="false" customHeight="false" outlineLevel="0" collapsed="false">
      <c r="A565" s="0" t="n">
        <v>163660</v>
      </c>
    </row>
    <row r="566" customFormat="false" ht="15" hidden="false" customHeight="false" outlineLevel="0" collapsed="false">
      <c r="A566" s="0" t="n">
        <v>163678</v>
      </c>
    </row>
    <row r="567" customFormat="false" ht="15" hidden="false" customHeight="false" outlineLevel="0" collapsed="false">
      <c r="A567" s="0" t="n">
        <v>166294</v>
      </c>
    </row>
    <row r="568" customFormat="false" ht="15" hidden="false" customHeight="false" outlineLevel="0" collapsed="false">
      <c r="A568" s="0" t="n">
        <v>166308</v>
      </c>
    </row>
    <row r="569" customFormat="false" ht="15" hidden="false" customHeight="false" outlineLevel="0" collapsed="false">
      <c r="A569" s="0" t="n">
        <v>172081</v>
      </c>
    </row>
    <row r="570" customFormat="false" ht="15" hidden="false" customHeight="false" outlineLevel="0" collapsed="false">
      <c r="A570" s="0" t="n">
        <v>172456</v>
      </c>
    </row>
    <row r="571" customFormat="false" ht="15" hidden="false" customHeight="false" outlineLevel="0" collapsed="false">
      <c r="A571" s="0" t="n">
        <v>172642</v>
      </c>
    </row>
    <row r="572" customFormat="false" ht="15" hidden="false" customHeight="false" outlineLevel="0" collapsed="false">
      <c r="A572" s="0" t="n">
        <v>173282</v>
      </c>
    </row>
    <row r="573" customFormat="false" ht="15" hidden="false" customHeight="false" outlineLevel="0" collapsed="false">
      <c r="A573" s="0" t="n">
        <v>173347</v>
      </c>
    </row>
    <row r="574" customFormat="false" ht="15" hidden="false" customHeight="false" outlineLevel="0" collapsed="false">
      <c r="A574" s="0" t="n">
        <v>173355</v>
      </c>
    </row>
    <row r="575" customFormat="false" ht="15" hidden="false" customHeight="false" outlineLevel="0" collapsed="false">
      <c r="A575" s="0" t="n">
        <v>173363</v>
      </c>
    </row>
    <row r="576" customFormat="false" ht="15" hidden="false" customHeight="false" outlineLevel="0" collapsed="false">
      <c r="A576" s="0" t="n">
        <v>173371</v>
      </c>
    </row>
    <row r="577" customFormat="false" ht="15" hidden="false" customHeight="false" outlineLevel="0" collapsed="false">
      <c r="A577" s="0" t="n">
        <v>173509</v>
      </c>
    </row>
    <row r="578" customFormat="false" ht="15" hidden="false" customHeight="false" outlineLevel="0" collapsed="false">
      <c r="A578" s="0" t="n">
        <v>173525</v>
      </c>
    </row>
    <row r="579" customFormat="false" ht="15" hidden="false" customHeight="false" outlineLevel="0" collapsed="false">
      <c r="A579" s="0" t="n">
        <v>173541</v>
      </c>
    </row>
    <row r="580" customFormat="false" ht="15" hidden="false" customHeight="false" outlineLevel="0" collapsed="false">
      <c r="A580" s="0" t="n">
        <v>173550</v>
      </c>
    </row>
    <row r="581" customFormat="false" ht="15" hidden="false" customHeight="false" outlineLevel="0" collapsed="false">
      <c r="A581" s="0" t="n">
        <v>173568</v>
      </c>
    </row>
    <row r="582" customFormat="false" ht="15" hidden="false" customHeight="false" outlineLevel="0" collapsed="false">
      <c r="A582" s="0" t="n">
        <v>173576</v>
      </c>
    </row>
    <row r="583" customFormat="false" ht="15" hidden="false" customHeight="false" outlineLevel="0" collapsed="false">
      <c r="A583" s="0" t="n">
        <v>173584</v>
      </c>
    </row>
    <row r="584" customFormat="false" ht="15" hidden="false" customHeight="false" outlineLevel="0" collapsed="false">
      <c r="A584" s="0" t="n">
        <v>173762</v>
      </c>
    </row>
    <row r="585" customFormat="false" ht="15" hidden="false" customHeight="false" outlineLevel="0" collapsed="false">
      <c r="A585" s="0" t="n">
        <v>173770</v>
      </c>
    </row>
    <row r="586" customFormat="false" ht="15" hidden="false" customHeight="false" outlineLevel="0" collapsed="false">
      <c r="A586" s="0" t="n">
        <v>174122</v>
      </c>
    </row>
    <row r="587" customFormat="false" ht="15" hidden="false" customHeight="false" outlineLevel="0" collapsed="false">
      <c r="A587" s="0" t="n">
        <v>176427</v>
      </c>
    </row>
    <row r="588" customFormat="false" ht="15" hidden="false" customHeight="false" outlineLevel="0" collapsed="false">
      <c r="A588" s="0" t="n">
        <v>176451</v>
      </c>
    </row>
    <row r="589" customFormat="false" ht="15" hidden="false" customHeight="false" outlineLevel="0" collapsed="false">
      <c r="A589" s="0" t="n">
        <v>176460</v>
      </c>
    </row>
    <row r="590" customFormat="false" ht="15" hidden="false" customHeight="false" outlineLevel="0" collapsed="false">
      <c r="A590" s="0" t="n">
        <v>176648</v>
      </c>
    </row>
    <row r="591" customFormat="false" ht="15" hidden="false" customHeight="false" outlineLevel="0" collapsed="false">
      <c r="A591" s="0" t="n">
        <v>176664</v>
      </c>
    </row>
    <row r="592" customFormat="false" ht="15" hidden="false" customHeight="false" outlineLevel="0" collapsed="false">
      <c r="A592" s="0" t="n">
        <v>176770</v>
      </c>
    </row>
    <row r="593" customFormat="false" ht="15" hidden="false" customHeight="false" outlineLevel="0" collapsed="false">
      <c r="A593" s="0" t="n">
        <v>176800</v>
      </c>
    </row>
    <row r="594" customFormat="false" ht="15" hidden="false" customHeight="false" outlineLevel="0" collapsed="false">
      <c r="A594" s="0" t="n">
        <v>183636</v>
      </c>
    </row>
    <row r="595" customFormat="false" ht="15" hidden="false" customHeight="false" outlineLevel="0" collapsed="false">
      <c r="A595" s="0" t="n">
        <v>183652</v>
      </c>
    </row>
    <row r="596" customFormat="false" ht="15" hidden="false" customHeight="false" outlineLevel="0" collapsed="false">
      <c r="A596" s="0" t="n">
        <v>184152</v>
      </c>
    </row>
    <row r="597" customFormat="false" ht="15" hidden="false" customHeight="false" outlineLevel="0" collapsed="false">
      <c r="A597" s="0" t="n">
        <v>184390</v>
      </c>
    </row>
    <row r="598" customFormat="false" ht="15" hidden="false" customHeight="false" outlineLevel="0" collapsed="false">
      <c r="A598" s="0" t="n">
        <v>184586</v>
      </c>
    </row>
    <row r="599" customFormat="false" ht="15" hidden="false" customHeight="false" outlineLevel="0" collapsed="false">
      <c r="A599" s="0" t="n">
        <v>191841</v>
      </c>
    </row>
    <row r="600" customFormat="false" ht="15" hidden="false" customHeight="false" outlineLevel="0" collapsed="false">
      <c r="A600" s="0" t="n">
        <v>192031</v>
      </c>
    </row>
    <row r="601" customFormat="false" ht="15" hidden="false" customHeight="false" outlineLevel="0" collapsed="false">
      <c r="A601" s="0" t="n">
        <v>192040</v>
      </c>
    </row>
    <row r="602" customFormat="false" ht="15" hidden="false" customHeight="false" outlineLevel="0" collapsed="false">
      <c r="A602" s="0" t="n">
        <v>192058</v>
      </c>
    </row>
    <row r="603" customFormat="false" ht="15" hidden="false" customHeight="false" outlineLevel="0" collapsed="false">
      <c r="A603" s="0" t="n">
        <v>192112</v>
      </c>
    </row>
    <row r="604" customFormat="false" ht="15" hidden="false" customHeight="false" outlineLevel="0" collapsed="false">
      <c r="A604" s="0" t="n">
        <v>192139</v>
      </c>
    </row>
    <row r="605" customFormat="false" ht="15" hidden="false" customHeight="false" outlineLevel="0" collapsed="false">
      <c r="A605" s="0" t="n">
        <v>192147</v>
      </c>
    </row>
    <row r="606" customFormat="false" ht="15" hidden="false" customHeight="false" outlineLevel="0" collapsed="false">
      <c r="A606" s="0" t="n">
        <v>192163</v>
      </c>
    </row>
    <row r="607" customFormat="false" ht="15" hidden="false" customHeight="false" outlineLevel="0" collapsed="false">
      <c r="A607" s="0" t="n">
        <v>192210</v>
      </c>
    </row>
    <row r="608" customFormat="false" ht="15" hidden="false" customHeight="false" outlineLevel="0" collapsed="false">
      <c r="A608" s="0" t="n">
        <v>192228</v>
      </c>
    </row>
    <row r="609" customFormat="false" ht="15" hidden="false" customHeight="false" outlineLevel="0" collapsed="false">
      <c r="A609" s="0" t="n">
        <v>192643</v>
      </c>
    </row>
    <row r="610" customFormat="false" ht="15" hidden="false" customHeight="false" outlineLevel="0" collapsed="false">
      <c r="A610" s="0" t="n">
        <v>194522</v>
      </c>
    </row>
    <row r="611" customFormat="false" ht="15" hidden="false" customHeight="false" outlineLevel="0" collapsed="false">
      <c r="A611" s="0" t="n">
        <v>194565</v>
      </c>
    </row>
    <row r="612" customFormat="false" ht="15" hidden="false" customHeight="false" outlineLevel="0" collapsed="false">
      <c r="A612" s="0" t="n">
        <v>194905</v>
      </c>
    </row>
    <row r="613" customFormat="false" ht="15" hidden="false" customHeight="false" outlineLevel="0" collapsed="false">
      <c r="A613" s="0" t="n">
        <v>194921</v>
      </c>
    </row>
    <row r="614" customFormat="false" ht="15" hidden="false" customHeight="false" outlineLevel="0" collapsed="false">
      <c r="A614" s="0" t="n">
        <v>194930</v>
      </c>
    </row>
    <row r="615" customFormat="false" ht="15" hidden="false" customHeight="false" outlineLevel="0" collapsed="false">
      <c r="A615" s="0" t="n">
        <v>194948</v>
      </c>
    </row>
    <row r="616" customFormat="false" ht="15" hidden="false" customHeight="false" outlineLevel="0" collapsed="false">
      <c r="A616" s="0" t="n">
        <v>196495</v>
      </c>
    </row>
    <row r="617" customFormat="false" ht="15" hidden="false" customHeight="false" outlineLevel="0" collapsed="false">
      <c r="A617" s="0" t="n">
        <v>196509</v>
      </c>
    </row>
    <row r="618" customFormat="false" ht="15" hidden="false" customHeight="false" outlineLevel="0" collapsed="false">
      <c r="A618" s="0" t="n">
        <v>197297</v>
      </c>
    </row>
    <row r="619" customFormat="false" ht="15" hidden="false" customHeight="false" outlineLevel="0" collapsed="false">
      <c r="A619" s="0" t="n">
        <v>197300</v>
      </c>
    </row>
    <row r="620" customFormat="false" ht="15" hidden="false" customHeight="false" outlineLevel="0" collapsed="false">
      <c r="A620" s="0" t="n">
        <v>198226</v>
      </c>
    </row>
    <row r="621" customFormat="false" ht="15" hidden="false" customHeight="false" outlineLevel="0" collapsed="false">
      <c r="A621" s="0" t="n">
        <v>212431</v>
      </c>
    </row>
    <row r="622" customFormat="false" ht="15" hidden="false" customHeight="false" outlineLevel="0" collapsed="false">
      <c r="A622" s="0" t="n">
        <v>212440</v>
      </c>
    </row>
    <row r="623" customFormat="false" ht="15" hidden="false" customHeight="false" outlineLevel="0" collapsed="false">
      <c r="A623" s="0" t="n">
        <v>212474</v>
      </c>
    </row>
    <row r="624" customFormat="false" ht="15" hidden="false" customHeight="false" outlineLevel="0" collapsed="false">
      <c r="A624" s="0" t="n">
        <v>212482</v>
      </c>
    </row>
    <row r="625" customFormat="false" ht="15" hidden="false" customHeight="false" outlineLevel="0" collapsed="false">
      <c r="A625" s="0" t="n">
        <v>212490</v>
      </c>
    </row>
    <row r="626" customFormat="false" ht="15" hidden="false" customHeight="false" outlineLevel="0" collapsed="false">
      <c r="A626" s="0" t="n">
        <v>212504</v>
      </c>
    </row>
    <row r="627" customFormat="false" ht="15" hidden="false" customHeight="false" outlineLevel="0" collapsed="false">
      <c r="A627" s="0" t="n">
        <v>212512</v>
      </c>
    </row>
    <row r="628" customFormat="false" ht="15" hidden="false" customHeight="false" outlineLevel="0" collapsed="false">
      <c r="A628" s="0" t="n">
        <v>213454</v>
      </c>
    </row>
    <row r="629" customFormat="false" ht="15" hidden="false" customHeight="false" outlineLevel="0" collapsed="false">
      <c r="A629" s="0" t="n">
        <v>213462</v>
      </c>
    </row>
    <row r="630" customFormat="false" ht="15" hidden="false" customHeight="false" outlineLevel="0" collapsed="false">
      <c r="A630" s="0" t="n">
        <v>214159</v>
      </c>
    </row>
    <row r="631" customFormat="false" ht="15" hidden="false" customHeight="false" outlineLevel="0" collapsed="false">
      <c r="A631" s="0" t="n">
        <v>214590</v>
      </c>
    </row>
    <row r="632" customFormat="false" ht="15" hidden="false" customHeight="false" outlineLevel="0" collapsed="false">
      <c r="A632" s="0" t="n">
        <v>215058</v>
      </c>
    </row>
    <row r="633" customFormat="false" ht="15" hidden="false" customHeight="false" outlineLevel="0" collapsed="false">
      <c r="A633" s="0" t="n">
        <v>215139</v>
      </c>
    </row>
    <row r="634" customFormat="false" ht="15" hidden="false" customHeight="false" outlineLevel="0" collapsed="false">
      <c r="A634" s="0" t="n">
        <v>215210</v>
      </c>
    </row>
    <row r="635" customFormat="false" ht="15" hidden="false" customHeight="false" outlineLevel="0" collapsed="false">
      <c r="A635" s="0" t="n">
        <v>215295</v>
      </c>
    </row>
    <row r="636" customFormat="false" ht="15" hidden="false" customHeight="false" outlineLevel="0" collapsed="false">
      <c r="A636" s="0" t="n">
        <v>215376</v>
      </c>
    </row>
    <row r="637" customFormat="false" ht="15" hidden="false" customHeight="false" outlineLevel="0" collapsed="false">
      <c r="A637" s="0" t="n">
        <v>215457</v>
      </c>
    </row>
    <row r="638" customFormat="false" ht="15" hidden="false" customHeight="false" outlineLevel="0" collapsed="false">
      <c r="A638" s="0" t="n">
        <v>215538</v>
      </c>
    </row>
    <row r="639" customFormat="false" ht="15" hidden="false" customHeight="false" outlineLevel="0" collapsed="false">
      <c r="A639" s="0" t="n">
        <v>215619</v>
      </c>
    </row>
    <row r="640" customFormat="false" ht="15" hidden="false" customHeight="false" outlineLevel="0" collapsed="false">
      <c r="A640" s="0" t="n">
        <v>215694</v>
      </c>
    </row>
    <row r="641" customFormat="false" ht="15" hidden="false" customHeight="false" outlineLevel="0" collapsed="false">
      <c r="A641" s="0" t="n">
        <v>215775</v>
      </c>
    </row>
    <row r="642" customFormat="false" ht="15" hidden="false" customHeight="false" outlineLevel="0" collapsed="false">
      <c r="A642" s="0" t="n">
        <v>215856</v>
      </c>
    </row>
    <row r="643" customFormat="false" ht="15" hidden="false" customHeight="false" outlineLevel="0" collapsed="false">
      <c r="A643" s="0" t="n">
        <v>215937</v>
      </c>
    </row>
    <row r="644" customFormat="false" ht="15" hidden="false" customHeight="false" outlineLevel="0" collapsed="false">
      <c r="A644" s="0" t="n">
        <v>913278</v>
      </c>
    </row>
    <row r="645" customFormat="false" ht="15" hidden="false" customHeight="false" outlineLevel="0" collapsed="false">
      <c r="A645" s="0" t="n">
        <v>946079</v>
      </c>
    </row>
  </sheetData>
  <autoFilter ref="A1:A645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"/>
    <col collapsed="false" customWidth="true" hidden="false" outlineLevel="0" max="7" min="7" style="0" width="32"/>
    <col collapsed="false" customWidth="true" hidden="false" outlineLevel="0" max="8" min="8" style="0" width="8"/>
  </cols>
  <sheetData>
    <row r="1" customFormat="false" ht="15" hidden="false" customHeight="false" outlineLevel="0" collapsed="false">
      <c r="A1" s="2" t="s">
        <v>682</v>
      </c>
      <c r="B1" s="2" t="s">
        <v>683</v>
      </c>
      <c r="C1" s="2" t="s">
        <v>684</v>
      </c>
      <c r="D1" s="2" t="s">
        <v>685</v>
      </c>
      <c r="E1" s="2" t="s">
        <v>686</v>
      </c>
      <c r="G1" s="3" t="s">
        <v>687</v>
      </c>
      <c r="H1" s="3" t="s">
        <v>688</v>
      </c>
    </row>
    <row r="2" customFormat="false" ht="15" hidden="false" customHeight="false" outlineLevel="0" collapsed="false">
      <c r="A2" s="4" t="n">
        <f aca="false">sisgi!A2</f>
        <v>9326</v>
      </c>
      <c r="B2" s="5" t="str">
        <f aca="false">IFERROR(IF(INDEX(cnpj!$B:$B,MATCH(A2,cnpj!$A:$A,0))="","",INDEX(cnpj!$B:$B,MATCH(A2,cnpj!$A:$A,0))),"")</f>
        <v>02.455.519/0001-90</v>
      </c>
      <c r="C2" s="5" t="str">
        <f aca="false">IF(B2="","",RIGHT("00000000000000"&amp;SUBSTITUTE(SUBSTITUTE(SUBSTITUTE(SUBSTITUTE(B2,".",""),"/",""),"-","")," ",""),14))</f>
        <v>02455519000190</v>
      </c>
      <c r="D2" s="5" t="str">
        <f aca="false">IF(C2="","",MID(C2,1,2)&amp;"."&amp;MID(C2,3,3)&amp;"."&amp;MID(C2,6,3)&amp;"/"&amp;MID(C2,9,4)&amp;"-"&amp;MID(C2,13,2))</f>
        <v>02.455.519/0001-90</v>
      </c>
      <c r="E2" s="4" t="str">
        <f aca="false">IF(ISNA(MATCH(A2,cnpj!$A:$A,0)),"Lotação não existe na aba cnpj",IF(B2="","Sem CNPJ na aba cnpj","OK"))</f>
        <v>OK</v>
      </c>
      <c r="G2" s="4" t="s">
        <v>689</v>
      </c>
      <c r="H2" s="4" t="n">
        <f aca="false">COUNTA(A2:A645)</f>
        <v>644</v>
      </c>
    </row>
    <row r="3" customFormat="false" ht="15" hidden="false" customHeight="false" outlineLevel="0" collapsed="false">
      <c r="A3" s="4" t="n">
        <f aca="false">sisgi!A3</f>
        <v>9393</v>
      </c>
      <c r="B3" s="5" t="str">
        <f aca="false">IFERROR(IF(INDEX(cnpj!$B:$B,MATCH(A3,cnpj!$A:$A,0))="","",INDEX(cnpj!$B:$B,MATCH(A3,cnpj!$A:$A,0))),"")</f>
        <v>03.049.222/0001-97</v>
      </c>
      <c r="C3" s="5" t="str">
        <f aca="false">IF(B3="","",RIGHT("00000000000000"&amp;SUBSTITUTE(SUBSTITUTE(SUBSTITUTE(SUBSTITUTE(B3,".",""),"/",""),"-","")," ",""),14))</f>
        <v>03049222000197</v>
      </c>
      <c r="D3" s="5" t="str">
        <f aca="false">IF(C3="","",MID(C3,1,2)&amp;"."&amp;MID(C3,3,3)&amp;"."&amp;MID(C3,6,3)&amp;"/"&amp;MID(C3,9,4)&amp;"-"&amp;MID(C3,13,2))</f>
        <v>03.049.222/0001-97</v>
      </c>
      <c r="E3" s="4" t="str">
        <f aca="false">IF(ISNA(MATCH(A3,cnpj!$A:$A,0)),"Lotação não existe na aba cnpj",IF(B3="","Sem CNPJ na aba cnpj","OK"))</f>
        <v>OK</v>
      </c>
      <c r="G3" s="4" t="s">
        <v>690</v>
      </c>
      <c r="H3" s="4" t="n">
        <f aca="false">COUNTIF(E2:E645,"OK")</f>
        <v>643</v>
      </c>
    </row>
    <row r="4" customFormat="false" ht="15" hidden="false" customHeight="false" outlineLevel="0" collapsed="false">
      <c r="A4" s="4" t="n">
        <f aca="false">sisgi!A4</f>
        <v>9440</v>
      </c>
      <c r="B4" s="5" t="str">
        <f aca="false">IFERROR(IF(INDEX(cnpj!$B:$B,MATCH(A4,cnpj!$A:$A,0))="","",INDEX(cnpj!$B:$B,MATCH(A4,cnpj!$A:$A,0))),"")</f>
        <v>02.010.853/0001-30</v>
      </c>
      <c r="C4" s="5" t="str">
        <f aca="false">IF(B4="","",RIGHT("00000000000000"&amp;SUBSTITUTE(SUBSTITUTE(SUBSTITUTE(SUBSTITUTE(B4,".",""),"/",""),"-","")," ",""),14))</f>
        <v>02010853000130</v>
      </c>
      <c r="D4" s="5" t="str">
        <f aca="false">IF(C4="","",MID(C4,1,2)&amp;"."&amp;MID(C4,3,3)&amp;"."&amp;MID(C4,6,3)&amp;"/"&amp;MID(C4,9,4)&amp;"-"&amp;MID(C4,13,2))</f>
        <v>02.010.853/0001-30</v>
      </c>
      <c r="E4" s="4" t="str">
        <f aca="false">IF(ISNA(MATCH(A4,cnpj!$A:$A,0)),"Lotação não existe na aba cnpj",IF(B4="","Sem CNPJ na aba cnpj","OK"))</f>
        <v>OK</v>
      </c>
      <c r="G4" s="4" t="s">
        <v>691</v>
      </c>
      <c r="H4" s="4" t="n">
        <f aca="false">COUNTIF(E2:E645,"Sem CNPJ*")</f>
        <v>0</v>
      </c>
    </row>
    <row r="5" customFormat="false" ht="15" hidden="false" customHeight="false" outlineLevel="0" collapsed="false">
      <c r="A5" s="4" t="n">
        <f aca="false">sisgi!A5</f>
        <v>9474</v>
      </c>
      <c r="B5" s="5" t="str">
        <f aca="false">IFERROR(IF(INDEX(cnpj!$B:$B,MATCH(A5,cnpj!$A:$A,0))="","",INDEX(cnpj!$B:$B,MATCH(A5,cnpj!$A:$A,0))),"")</f>
        <v>01.939.513/0001-25</v>
      </c>
      <c r="C5" s="5" t="str">
        <f aca="false">IF(B5="","",RIGHT("00000000000000"&amp;SUBSTITUTE(SUBSTITUTE(SUBSTITUTE(SUBSTITUTE(B5,".",""),"/",""),"-","")," ",""),14))</f>
        <v>01939513000125</v>
      </c>
      <c r="D5" s="5" t="str">
        <f aca="false">IF(C5="","",MID(C5,1,2)&amp;"."&amp;MID(C5,3,3)&amp;"."&amp;MID(C5,6,3)&amp;"/"&amp;MID(C5,9,4)&amp;"-"&amp;MID(C5,13,2))</f>
        <v>01.939.513/0001-25</v>
      </c>
      <c r="E5" s="4" t="str">
        <f aca="false">IF(ISNA(MATCH(A5,cnpj!$A:$A,0)),"Lotação não existe na aba cnpj",IF(B5="","Sem CNPJ na aba cnpj","OK"))</f>
        <v>OK</v>
      </c>
      <c r="G5" s="4" t="s">
        <v>692</v>
      </c>
      <c r="H5" s="4" t="n">
        <f aca="false">COUNTIF(E2:E645,"Lotação não*")</f>
        <v>1</v>
      </c>
    </row>
    <row r="6" customFormat="false" ht="15" hidden="false" customHeight="false" outlineLevel="0" collapsed="false">
      <c r="A6" s="4" t="n">
        <f aca="false">sisgi!A6</f>
        <v>9482</v>
      </c>
      <c r="B6" s="5" t="str">
        <f aca="false">IFERROR(IF(INDEX(cnpj!$B:$B,MATCH(A6,cnpj!$A:$A,0))="","",INDEX(cnpj!$B:$B,MATCH(A6,cnpj!$A:$A,0))),"")</f>
        <v>02.517.515/0001-99</v>
      </c>
      <c r="C6" s="5" t="str">
        <f aca="false">IF(B6="","",RIGHT("00000000000000"&amp;SUBSTITUTE(SUBSTITUTE(SUBSTITUTE(SUBSTITUTE(B6,".",""),"/",""),"-","")," ",""),14))</f>
        <v>02517515000199</v>
      </c>
      <c r="D6" s="5" t="str">
        <f aca="false">IF(C6="","",MID(C6,1,2)&amp;"."&amp;MID(C6,3,3)&amp;"."&amp;MID(C6,6,3)&amp;"/"&amp;MID(C6,9,4)&amp;"-"&amp;MID(C6,13,2))</f>
        <v>02.517.515/0001-99</v>
      </c>
      <c r="E6" s="4" t="str">
        <f aca="false">IF(ISNA(MATCH(A6,cnpj!$A:$A,0)),"Lotação não existe na aba cnpj",IF(B6="","Sem CNPJ na aba cnpj","OK"))</f>
        <v>OK</v>
      </c>
    </row>
    <row r="7" customFormat="false" ht="15" hidden="false" customHeight="false" outlineLevel="0" collapsed="false">
      <c r="A7" s="4" t="n">
        <f aca="false">sisgi!A7</f>
        <v>9520</v>
      </c>
      <c r="B7" s="5" t="str">
        <f aca="false">IFERROR(IF(INDEX(cnpj!$B:$B,MATCH(A7,cnpj!$A:$A,0))="","",INDEX(cnpj!$B:$B,MATCH(A7,cnpj!$A:$A,0))),"")</f>
        <v>02.315.622/0001-34</v>
      </c>
      <c r="C7" s="5" t="str">
        <f aca="false">IF(B7="","",RIGHT("00000000000000"&amp;SUBSTITUTE(SUBSTITUTE(SUBSTITUTE(SUBSTITUTE(B7,".",""),"/",""),"-","")," ",""),14))</f>
        <v>02315622000134</v>
      </c>
      <c r="D7" s="5" t="str">
        <f aca="false">IF(C7="","",MID(C7,1,2)&amp;"."&amp;MID(C7,3,3)&amp;"."&amp;MID(C7,6,3)&amp;"/"&amp;MID(C7,9,4)&amp;"-"&amp;MID(C7,13,2))</f>
        <v>02.315.622/0001-34</v>
      </c>
      <c r="E7" s="4" t="str">
        <f aca="false">IF(ISNA(MATCH(A7,cnpj!$A:$A,0)),"Lotação não existe na aba cnpj",IF(B7="","Sem CNPJ na aba cnpj","OK"))</f>
        <v>OK</v>
      </c>
    </row>
    <row r="8" customFormat="false" ht="15" hidden="false" customHeight="false" outlineLevel="0" collapsed="false">
      <c r="A8" s="4" t="n">
        <f aca="false">sisgi!A8</f>
        <v>9539</v>
      </c>
      <c r="B8" s="5" t="str">
        <f aca="false">IFERROR(IF(INDEX(cnpj!$B:$B,MATCH(A8,cnpj!$A:$A,0))="","",INDEX(cnpj!$B:$B,MATCH(A8,cnpj!$A:$A,0))),"")</f>
        <v>03.358.621/0001-30</v>
      </c>
      <c r="C8" s="5" t="str">
        <f aca="false">IF(B8="","",RIGHT("00000000000000"&amp;SUBSTITUTE(SUBSTITUTE(SUBSTITUTE(SUBSTITUTE(B8,".",""),"/",""),"-","")," ",""),14))</f>
        <v>03358621000130</v>
      </c>
      <c r="D8" s="5" t="str">
        <f aca="false">IF(C8="","",MID(C8,1,2)&amp;"."&amp;MID(C8,3,3)&amp;"."&amp;MID(C8,6,3)&amp;"/"&amp;MID(C8,9,4)&amp;"-"&amp;MID(C8,13,2))</f>
        <v>03.358.621/0001-30</v>
      </c>
      <c r="E8" s="4" t="str">
        <f aca="false">IF(ISNA(MATCH(A8,cnpj!$A:$A,0)),"Lotação não existe na aba cnpj",IF(B8="","Sem CNPJ na aba cnpj","OK"))</f>
        <v>OK</v>
      </c>
    </row>
    <row r="9" customFormat="false" ht="15" hidden="false" customHeight="false" outlineLevel="0" collapsed="false">
      <c r="A9" s="4" t="n">
        <f aca="false">sisgi!A9</f>
        <v>9547</v>
      </c>
      <c r="B9" s="5" t="str">
        <f aca="false">IFERROR(IF(INDEX(cnpj!$B:$B,MATCH(A9,cnpj!$A:$A,0))="","",INDEX(cnpj!$B:$B,MATCH(A9,cnpj!$A:$A,0))),"")</f>
        <v>01.967.817/0001-04</v>
      </c>
      <c r="C9" s="5" t="str">
        <f aca="false">IF(B9="","",RIGHT("00000000000000"&amp;SUBSTITUTE(SUBSTITUTE(SUBSTITUTE(SUBSTITUTE(B9,".",""),"/",""),"-","")," ",""),14))</f>
        <v>01967817000104</v>
      </c>
      <c r="D9" s="5" t="str">
        <f aca="false">IF(C9="","",MID(C9,1,2)&amp;"."&amp;MID(C9,3,3)&amp;"."&amp;MID(C9,6,3)&amp;"/"&amp;MID(C9,9,4)&amp;"-"&amp;MID(C9,13,2))</f>
        <v>01.967.817/0001-04</v>
      </c>
      <c r="E9" s="4" t="str">
        <f aca="false">IF(ISNA(MATCH(A9,cnpj!$A:$A,0)),"Lotação não existe na aba cnpj",IF(B9="","Sem CNPJ na aba cnpj","OK"))</f>
        <v>OK</v>
      </c>
    </row>
    <row r="10" customFormat="false" ht="15" hidden="false" customHeight="false" outlineLevel="0" collapsed="false">
      <c r="A10" s="4" t="n">
        <f aca="false">sisgi!A10</f>
        <v>9571</v>
      </c>
      <c r="B10" s="5" t="str">
        <f aca="false">IFERROR(IF(INDEX(cnpj!$B:$B,MATCH(A10,cnpj!$A:$A,0))="","",INDEX(cnpj!$B:$B,MATCH(A10,cnpj!$A:$A,0))),"")</f>
        <v>03.087.642/0001-68</v>
      </c>
      <c r="C10" s="5" t="str">
        <f aca="false">IF(B10="","",RIGHT("00000000000000"&amp;SUBSTITUTE(SUBSTITUTE(SUBSTITUTE(SUBSTITUTE(B10,".",""),"/",""),"-","")," ",""),14))</f>
        <v>03087642000168</v>
      </c>
      <c r="D10" s="5" t="str">
        <f aca="false">IF(C10="","",MID(C10,1,2)&amp;"."&amp;MID(C10,3,3)&amp;"."&amp;MID(C10,6,3)&amp;"/"&amp;MID(C10,9,4)&amp;"-"&amp;MID(C10,13,2))</f>
        <v>03.087.642/0001-68</v>
      </c>
      <c r="E10" s="4" t="str">
        <f aca="false">IF(ISNA(MATCH(A10,cnpj!$A:$A,0)),"Lotação não existe na aba cnpj",IF(B10="","Sem CNPJ na aba cnpj","OK"))</f>
        <v>OK</v>
      </c>
    </row>
    <row r="11" customFormat="false" ht="15" hidden="false" customHeight="false" outlineLevel="0" collapsed="false">
      <c r="A11" s="4" t="n">
        <f aca="false">sisgi!A11</f>
        <v>9610</v>
      </c>
      <c r="B11" s="5" t="str">
        <f aca="false">IFERROR(IF(INDEX(cnpj!$B:$B,MATCH(A11,cnpj!$A:$A,0))="","",INDEX(cnpj!$B:$B,MATCH(A11,cnpj!$A:$A,0))),"")</f>
        <v>03.597.780/0001-97</v>
      </c>
      <c r="C11" s="5" t="str">
        <f aca="false">IF(B11="","",RIGHT("00000000000000"&amp;SUBSTITUTE(SUBSTITUTE(SUBSTITUTE(SUBSTITUTE(B11,".",""),"/",""),"-","")," ",""),14))</f>
        <v>03597780000197</v>
      </c>
      <c r="D11" s="5" t="str">
        <f aca="false">IF(C11="","",MID(C11,1,2)&amp;"."&amp;MID(C11,3,3)&amp;"."&amp;MID(C11,6,3)&amp;"/"&amp;MID(C11,9,4)&amp;"-"&amp;MID(C11,13,2))</f>
        <v>03.597.780/0001-97</v>
      </c>
      <c r="E11" s="4" t="str">
        <f aca="false">IF(ISNA(MATCH(A11,cnpj!$A:$A,0)),"Lotação não existe na aba cnpj",IF(B11="","Sem CNPJ na aba cnpj","OK"))</f>
        <v>OK</v>
      </c>
    </row>
    <row r="12" customFormat="false" ht="15" hidden="false" customHeight="false" outlineLevel="0" collapsed="false">
      <c r="A12" s="4" t="n">
        <f aca="false">sisgi!A12</f>
        <v>9652</v>
      </c>
      <c r="B12" s="5" t="str">
        <f aca="false">IFERROR(IF(INDEX(cnpj!$B:$B,MATCH(A12,cnpj!$A:$A,0))="","",INDEX(cnpj!$B:$B,MATCH(A12,cnpj!$A:$A,0))),"")</f>
        <v>03.295.686/0001-83</v>
      </c>
      <c r="C12" s="5" t="str">
        <f aca="false">IF(B12="","",RIGHT("00000000000000"&amp;SUBSTITUTE(SUBSTITUTE(SUBSTITUTE(SUBSTITUTE(B12,".",""),"/",""),"-","")," ",""),14))</f>
        <v>03295686000183</v>
      </c>
      <c r="D12" s="5" t="str">
        <f aca="false">IF(C12="","",MID(C12,1,2)&amp;"."&amp;MID(C12,3,3)&amp;"."&amp;MID(C12,6,3)&amp;"/"&amp;MID(C12,9,4)&amp;"-"&amp;MID(C12,13,2))</f>
        <v>03.295.686/0001-83</v>
      </c>
      <c r="E12" s="4" t="str">
        <f aca="false">IF(ISNA(MATCH(A12,cnpj!$A:$A,0)),"Lotação não existe na aba cnpj",IF(B12="","Sem CNPJ na aba cnpj","OK"))</f>
        <v>OK</v>
      </c>
    </row>
    <row r="13" customFormat="false" ht="15" hidden="false" customHeight="false" outlineLevel="0" collapsed="false">
      <c r="A13" s="4" t="n">
        <f aca="false">sisgi!A13</f>
        <v>9679</v>
      </c>
      <c r="B13" s="5" t="str">
        <f aca="false">IFERROR(IF(INDEX(cnpj!$B:$B,MATCH(A13,cnpj!$A:$A,0))="","",INDEX(cnpj!$B:$B,MATCH(A13,cnpj!$A:$A,0))),"")</f>
        <v>01.586.615/0001-04</v>
      </c>
      <c r="C13" s="5" t="str">
        <f aca="false">IF(B13="","",RIGHT("00000000000000"&amp;SUBSTITUTE(SUBSTITUTE(SUBSTITUTE(SUBSTITUTE(B13,".",""),"/",""),"-","")," ",""),14))</f>
        <v>01586615000104</v>
      </c>
      <c r="D13" s="5" t="str">
        <f aca="false">IF(C13="","",MID(C13,1,2)&amp;"."&amp;MID(C13,3,3)&amp;"."&amp;MID(C13,6,3)&amp;"/"&amp;MID(C13,9,4)&amp;"-"&amp;MID(C13,13,2))</f>
        <v>01.586.615/0001-04</v>
      </c>
      <c r="E13" s="4" t="str">
        <f aca="false">IF(ISNA(MATCH(A13,cnpj!$A:$A,0)),"Lotação não existe na aba cnpj",IF(B13="","Sem CNPJ na aba cnpj","OK"))</f>
        <v>OK</v>
      </c>
    </row>
    <row r="14" customFormat="false" ht="15" hidden="false" customHeight="false" outlineLevel="0" collapsed="false">
      <c r="A14" s="4" t="n">
        <f aca="false">sisgi!A14</f>
        <v>9687</v>
      </c>
      <c r="B14" s="5" t="str">
        <f aca="false">IFERROR(IF(INDEX(cnpj!$B:$B,MATCH(A14,cnpj!$A:$A,0))="","",INDEX(cnpj!$B:$B,MATCH(A14,cnpj!$A:$A,0))),"")</f>
        <v>03.159.021/0001-42</v>
      </c>
      <c r="C14" s="5" t="str">
        <f aca="false">IF(B14="","",RIGHT("00000000000000"&amp;SUBSTITUTE(SUBSTITUTE(SUBSTITUTE(SUBSTITUTE(B14,".",""),"/",""),"-","")," ",""),14))</f>
        <v>03159021000142</v>
      </c>
      <c r="D14" s="5" t="str">
        <f aca="false">IF(C14="","",MID(C14,1,2)&amp;"."&amp;MID(C14,3,3)&amp;"."&amp;MID(C14,6,3)&amp;"/"&amp;MID(C14,9,4)&amp;"-"&amp;MID(C14,13,2))</f>
        <v>03.159.021/0001-42</v>
      </c>
      <c r="E14" s="4" t="str">
        <f aca="false">IF(ISNA(MATCH(A14,cnpj!$A:$A,0)),"Lotação não existe na aba cnpj",IF(B14="","Sem CNPJ na aba cnpj","OK"))</f>
        <v>OK</v>
      </c>
    </row>
    <row r="15" customFormat="false" ht="15" hidden="false" customHeight="false" outlineLevel="0" collapsed="false">
      <c r="A15" s="4" t="n">
        <f aca="false">sisgi!A15</f>
        <v>9709</v>
      </c>
      <c r="B15" s="5" t="str">
        <f aca="false">IFERROR(IF(INDEX(cnpj!$B:$B,MATCH(A15,cnpj!$A:$A,0))="","",INDEX(cnpj!$B:$B,MATCH(A15,cnpj!$A:$A,0))),"")</f>
        <v>03.165.188/0001-16</v>
      </c>
      <c r="C15" s="5" t="str">
        <f aca="false">IF(B15="","",RIGHT("00000000000000"&amp;SUBSTITUTE(SUBSTITUTE(SUBSTITUTE(SUBSTITUTE(B15,".",""),"/",""),"-","")," ",""),14))</f>
        <v>03165188000116</v>
      </c>
      <c r="D15" s="5" t="str">
        <f aca="false">IF(C15="","",MID(C15,1,2)&amp;"."&amp;MID(C15,3,3)&amp;"."&amp;MID(C15,6,3)&amp;"/"&amp;MID(C15,9,4)&amp;"-"&amp;MID(C15,13,2))</f>
        <v>03.165.188/0001-16</v>
      </c>
      <c r="E15" s="4" t="str">
        <f aca="false">IF(ISNA(MATCH(A15,cnpj!$A:$A,0)),"Lotação não existe na aba cnpj",IF(B15="","Sem CNPJ na aba cnpj","OK"))</f>
        <v>OK</v>
      </c>
    </row>
    <row r="16" customFormat="false" ht="15" hidden="false" customHeight="false" outlineLevel="0" collapsed="false">
      <c r="A16" s="4" t="n">
        <f aca="false">sisgi!A16</f>
        <v>9717</v>
      </c>
      <c r="B16" s="5" t="str">
        <f aca="false">IFERROR(IF(INDEX(cnpj!$B:$B,MATCH(A16,cnpj!$A:$A,0))="","",INDEX(cnpj!$B:$B,MATCH(A16,cnpj!$A:$A,0))),"")</f>
        <v>02.051.792/0001-59</v>
      </c>
      <c r="C16" s="5" t="str">
        <f aca="false">IF(B16="","",RIGHT("00000000000000"&amp;SUBSTITUTE(SUBSTITUTE(SUBSTITUTE(SUBSTITUTE(B16,".",""),"/",""),"-","")," ",""),14))</f>
        <v>02051792000159</v>
      </c>
      <c r="D16" s="5" t="str">
        <f aca="false">IF(C16="","",MID(C16,1,2)&amp;"."&amp;MID(C16,3,3)&amp;"."&amp;MID(C16,6,3)&amp;"/"&amp;MID(C16,9,4)&amp;"-"&amp;MID(C16,13,2))</f>
        <v>02.051.792/0001-59</v>
      </c>
      <c r="E16" s="4" t="str">
        <f aca="false">IF(ISNA(MATCH(A16,cnpj!$A:$A,0)),"Lotação não existe na aba cnpj",IF(B16="","Sem CNPJ na aba cnpj","OK"))</f>
        <v>OK</v>
      </c>
    </row>
    <row r="17" customFormat="false" ht="15" hidden="false" customHeight="false" outlineLevel="0" collapsed="false">
      <c r="A17" s="4" t="n">
        <f aca="false">sisgi!A17</f>
        <v>9725</v>
      </c>
      <c r="B17" s="5" t="str">
        <f aca="false">IFERROR(IF(INDEX(cnpj!$B:$B,MATCH(A17,cnpj!$A:$A,0))="","",INDEX(cnpj!$B:$B,MATCH(A17,cnpj!$A:$A,0))),"")</f>
        <v>02.443.825/0001-06</v>
      </c>
      <c r="C17" s="5" t="str">
        <f aca="false">IF(B17="","",RIGHT("00000000000000"&amp;SUBSTITUTE(SUBSTITUTE(SUBSTITUTE(SUBSTITUTE(B17,".",""),"/",""),"-","")," ",""),14))</f>
        <v>02443825000106</v>
      </c>
      <c r="D17" s="5" t="str">
        <f aca="false">IF(C17="","",MID(C17,1,2)&amp;"."&amp;MID(C17,3,3)&amp;"."&amp;MID(C17,6,3)&amp;"/"&amp;MID(C17,9,4)&amp;"-"&amp;MID(C17,13,2))</f>
        <v>02.443.825/0001-06</v>
      </c>
      <c r="E17" s="4" t="str">
        <f aca="false">IF(ISNA(MATCH(A17,cnpj!$A:$A,0)),"Lotação não existe na aba cnpj",IF(B17="","Sem CNPJ na aba cnpj","OK"))</f>
        <v>OK</v>
      </c>
    </row>
    <row r="18" customFormat="false" ht="15" hidden="false" customHeight="false" outlineLevel="0" collapsed="false">
      <c r="A18" s="4" t="n">
        <f aca="false">sisgi!A18</f>
        <v>9733</v>
      </c>
      <c r="B18" s="5" t="str">
        <f aca="false">IFERROR(IF(INDEX(cnpj!$B:$B,MATCH(A18,cnpj!$A:$A,0))="","",INDEX(cnpj!$B:$B,MATCH(A18,cnpj!$A:$A,0))),"")</f>
        <v>02.010.854/0001-84</v>
      </c>
      <c r="C18" s="5" t="str">
        <f aca="false">IF(B18="","",RIGHT("00000000000000"&amp;SUBSTITUTE(SUBSTITUTE(SUBSTITUTE(SUBSTITUTE(B18,".",""),"/",""),"-","")," ",""),14))</f>
        <v>02010854000184</v>
      </c>
      <c r="D18" s="5" t="str">
        <f aca="false">IF(C18="","",MID(C18,1,2)&amp;"."&amp;MID(C18,3,3)&amp;"."&amp;MID(C18,6,3)&amp;"/"&amp;MID(C18,9,4)&amp;"-"&amp;MID(C18,13,2))</f>
        <v>02.010.854/0001-84</v>
      </c>
      <c r="E18" s="4" t="str">
        <f aca="false">IF(ISNA(MATCH(A18,cnpj!$A:$A,0)),"Lotação não existe na aba cnpj",IF(B18="","Sem CNPJ na aba cnpj","OK"))</f>
        <v>OK</v>
      </c>
    </row>
    <row r="19" customFormat="false" ht="15" hidden="false" customHeight="false" outlineLevel="0" collapsed="false">
      <c r="A19" s="4" t="n">
        <f aca="false">sisgi!A19</f>
        <v>9806</v>
      </c>
      <c r="B19" s="5" t="str">
        <f aca="false">IFERROR(IF(INDEX(cnpj!$B:$B,MATCH(A19,cnpj!$A:$A,0))="","",INDEX(cnpj!$B:$B,MATCH(A19,cnpj!$A:$A,0))),"")</f>
        <v>01.606.944/0001-70</v>
      </c>
      <c r="C19" s="5" t="str">
        <f aca="false">IF(B19="","",RIGHT("00000000000000"&amp;SUBSTITUTE(SUBSTITUTE(SUBSTITUTE(SUBSTITUTE(B19,".",""),"/",""),"-","")," ",""),14))</f>
        <v>01606944000170</v>
      </c>
      <c r="D19" s="5" t="str">
        <f aca="false">IF(C19="","",MID(C19,1,2)&amp;"."&amp;MID(C19,3,3)&amp;"."&amp;MID(C19,6,3)&amp;"/"&amp;MID(C19,9,4)&amp;"-"&amp;MID(C19,13,2))</f>
        <v>01.606.944/0001-70</v>
      </c>
      <c r="E19" s="4" t="str">
        <f aca="false">IF(ISNA(MATCH(A19,cnpj!$A:$A,0)),"Lotação não existe na aba cnpj",IF(B19="","Sem CNPJ na aba cnpj","OK"))</f>
        <v>OK</v>
      </c>
    </row>
    <row r="20" customFormat="false" ht="15" hidden="false" customHeight="false" outlineLevel="0" collapsed="false">
      <c r="A20" s="4" t="n">
        <f aca="false">sisgi!A20</f>
        <v>9814</v>
      </c>
      <c r="B20" s="5" t="str">
        <f aca="false">IFERROR(IF(INDEX(cnpj!$B:$B,MATCH(A20,cnpj!$A:$A,0))="","",INDEX(cnpj!$B:$B,MATCH(A20,cnpj!$A:$A,0))),"")</f>
        <v>02.471.496/0001-07</v>
      </c>
      <c r="C20" s="5" t="str">
        <f aca="false">IF(B20="","",RIGHT("00000000000000"&amp;SUBSTITUTE(SUBSTITUTE(SUBSTITUTE(SUBSTITUTE(B20,".",""),"/",""),"-","")," ",""),14))</f>
        <v>02471496000107</v>
      </c>
      <c r="D20" s="5" t="str">
        <f aca="false">IF(C20="","",MID(C20,1,2)&amp;"."&amp;MID(C20,3,3)&amp;"."&amp;MID(C20,6,3)&amp;"/"&amp;MID(C20,9,4)&amp;"-"&amp;MID(C20,13,2))</f>
        <v>02.471.496/0001-07</v>
      </c>
      <c r="E20" s="4" t="str">
        <f aca="false">IF(ISNA(MATCH(A20,cnpj!$A:$A,0)),"Lotação não existe na aba cnpj",IF(B20="","Sem CNPJ na aba cnpj","OK"))</f>
        <v>OK</v>
      </c>
    </row>
    <row r="21" customFormat="false" ht="15" hidden="false" customHeight="false" outlineLevel="0" collapsed="false">
      <c r="A21" s="4" t="n">
        <f aca="false">sisgi!A21</f>
        <v>9830</v>
      </c>
      <c r="B21" s="5" t="str">
        <f aca="false">IFERROR(IF(INDEX(cnpj!$B:$B,MATCH(A21,cnpj!$A:$A,0))="","",INDEX(cnpj!$B:$B,MATCH(A21,cnpj!$A:$A,0))),"")</f>
        <v>03.159.030/0001-33</v>
      </c>
      <c r="C21" s="5" t="str">
        <f aca="false">IF(B21="","",RIGHT("00000000000000"&amp;SUBSTITUTE(SUBSTITUTE(SUBSTITUTE(SUBSTITUTE(B21,".",""),"/",""),"-","")," ",""),14))</f>
        <v>03159030000133</v>
      </c>
      <c r="D21" s="5" t="str">
        <f aca="false">IF(C21="","",MID(C21,1,2)&amp;"."&amp;MID(C21,3,3)&amp;"."&amp;MID(C21,6,3)&amp;"/"&amp;MID(C21,9,4)&amp;"-"&amp;MID(C21,13,2))</f>
        <v>03.159.030/0001-33</v>
      </c>
      <c r="E21" s="4" t="str">
        <f aca="false">IF(ISNA(MATCH(A21,cnpj!$A:$A,0)),"Lotação não existe na aba cnpj",IF(B21="","Sem CNPJ na aba cnpj","OK"))</f>
        <v>OK</v>
      </c>
    </row>
    <row r="22" customFormat="false" ht="15" hidden="false" customHeight="false" outlineLevel="0" collapsed="false">
      <c r="A22" s="4" t="n">
        <f aca="false">sisgi!A22</f>
        <v>9849</v>
      </c>
      <c r="B22" s="5" t="str">
        <f aca="false">IFERROR(IF(INDEX(cnpj!$B:$B,MATCH(A22,cnpj!$A:$A,0))="","",INDEX(cnpj!$B:$B,MATCH(A22,cnpj!$A:$A,0))),"")</f>
        <v>01.944.536/0001-28</v>
      </c>
      <c r="C22" s="5" t="str">
        <f aca="false">IF(B22="","",RIGHT("00000000000000"&amp;SUBSTITUTE(SUBSTITUTE(SUBSTITUTE(SUBSTITUTE(B22,".",""),"/",""),"-","")," ",""),14))</f>
        <v>01944536000128</v>
      </c>
      <c r="D22" s="5" t="str">
        <f aca="false">IF(C22="","",MID(C22,1,2)&amp;"."&amp;MID(C22,3,3)&amp;"."&amp;MID(C22,6,3)&amp;"/"&amp;MID(C22,9,4)&amp;"-"&amp;MID(C22,13,2))</f>
        <v>01.944.536/0001-28</v>
      </c>
      <c r="E22" s="4" t="str">
        <f aca="false">IF(ISNA(MATCH(A22,cnpj!$A:$A,0)),"Lotação não existe na aba cnpj",IF(B22="","Sem CNPJ na aba cnpj","OK"))</f>
        <v>OK</v>
      </c>
    </row>
    <row r="23" customFormat="false" ht="15" hidden="false" customHeight="false" outlineLevel="0" collapsed="false">
      <c r="A23" s="4" t="n">
        <f aca="false">sisgi!A23</f>
        <v>9857</v>
      </c>
      <c r="B23" s="5" t="str">
        <f aca="false">IFERROR(IF(INDEX(cnpj!$B:$B,MATCH(A23,cnpj!$A:$A,0))="","",INDEX(cnpj!$B:$B,MATCH(A23,cnpj!$A:$A,0))),"")</f>
        <v>14.925.622/0001-35</v>
      </c>
      <c r="C23" s="5" t="str">
        <f aca="false">IF(B23="","",RIGHT("00000000000000"&amp;SUBSTITUTE(SUBSTITUTE(SUBSTITUTE(SUBSTITUTE(B23,".",""),"/",""),"-","")," ",""),14))</f>
        <v>14925622000135</v>
      </c>
      <c r="D23" s="5" t="str">
        <f aca="false">IF(C23="","",MID(C23,1,2)&amp;"."&amp;MID(C23,3,3)&amp;"."&amp;MID(C23,6,3)&amp;"/"&amp;MID(C23,9,4)&amp;"-"&amp;MID(C23,13,2))</f>
        <v>14.925.622/0001-35</v>
      </c>
      <c r="E23" s="4" t="str">
        <f aca="false">IF(ISNA(MATCH(A23,cnpj!$A:$A,0)),"Lotação não existe na aba cnpj",IF(B23="","Sem CNPJ na aba cnpj","OK"))</f>
        <v>OK</v>
      </c>
    </row>
    <row r="24" customFormat="false" ht="15" hidden="false" customHeight="false" outlineLevel="0" collapsed="false">
      <c r="A24" s="4" t="n">
        <f aca="false">sisgi!A24</f>
        <v>9865</v>
      </c>
      <c r="B24" s="5" t="str">
        <f aca="false">IFERROR(IF(INDEX(cnpj!$B:$B,MATCH(A24,cnpj!$A:$A,0))="","",INDEX(cnpj!$B:$B,MATCH(A24,cnpj!$A:$A,0))),"")</f>
        <v>03.146.565/0001-70</v>
      </c>
      <c r="C24" s="5" t="str">
        <f aca="false">IF(B24="","",RIGHT("00000000000000"&amp;SUBSTITUTE(SUBSTITUTE(SUBSTITUTE(SUBSTITUTE(B24,".",""),"/",""),"-","")," ",""),14))</f>
        <v>03146565000170</v>
      </c>
      <c r="D24" s="5" t="str">
        <f aca="false">IF(C24="","",MID(C24,1,2)&amp;"."&amp;MID(C24,3,3)&amp;"."&amp;MID(C24,6,3)&amp;"/"&amp;MID(C24,9,4)&amp;"-"&amp;MID(C24,13,2))</f>
        <v>03.146.565/0001-70</v>
      </c>
      <c r="E24" s="4" t="str">
        <f aca="false">IF(ISNA(MATCH(A24,cnpj!$A:$A,0)),"Lotação não existe na aba cnpj",IF(B24="","Sem CNPJ na aba cnpj","OK"))</f>
        <v>OK</v>
      </c>
    </row>
    <row r="25" customFormat="false" ht="15" hidden="false" customHeight="false" outlineLevel="0" collapsed="false">
      <c r="A25" s="4" t="n">
        <f aca="false">sisgi!A25</f>
        <v>9903</v>
      </c>
      <c r="B25" s="5" t="str">
        <f aca="false">IFERROR(IF(INDEX(cnpj!$B:$B,MATCH(A25,cnpj!$A:$A,0))="","",INDEX(cnpj!$B:$B,MATCH(A25,cnpj!$A:$A,0))),"")</f>
        <v>02.493.957/0001-42</v>
      </c>
      <c r="C25" s="5" t="str">
        <f aca="false">IF(B25="","",RIGHT("00000000000000"&amp;SUBSTITUTE(SUBSTITUTE(SUBSTITUTE(SUBSTITUTE(B25,".",""),"/",""),"-","")," ",""),14))</f>
        <v>02493957000142</v>
      </c>
      <c r="D25" s="5" t="str">
        <f aca="false">IF(C25="","",MID(C25,1,2)&amp;"."&amp;MID(C25,3,3)&amp;"."&amp;MID(C25,6,3)&amp;"/"&amp;MID(C25,9,4)&amp;"-"&amp;MID(C25,13,2))</f>
        <v>02.493.957/0001-42</v>
      </c>
      <c r="E25" s="4" t="str">
        <f aca="false">IF(ISNA(MATCH(A25,cnpj!$A:$A,0)),"Lotação não existe na aba cnpj",IF(B25="","Sem CNPJ na aba cnpj","OK"))</f>
        <v>OK</v>
      </c>
    </row>
    <row r="26" customFormat="false" ht="15" hidden="false" customHeight="false" outlineLevel="0" collapsed="false">
      <c r="A26" s="4" t="n">
        <f aca="false">sisgi!A26</f>
        <v>9911</v>
      </c>
      <c r="B26" s="5" t="str">
        <f aca="false">IFERROR(IF(INDEX(cnpj!$B:$B,MATCH(A26,cnpj!$A:$A,0))="","",INDEX(cnpj!$B:$B,MATCH(A26,cnpj!$A:$A,0))),"")</f>
        <v>02.274.833/0001-76</v>
      </c>
      <c r="C26" s="5" t="str">
        <f aca="false">IF(B26="","",RIGHT("00000000000000"&amp;SUBSTITUTE(SUBSTITUTE(SUBSTITUTE(SUBSTITUTE(B26,".",""),"/",""),"-","")," ",""),14))</f>
        <v>02274833000176</v>
      </c>
      <c r="D26" s="5" t="str">
        <f aca="false">IF(C26="","",MID(C26,1,2)&amp;"."&amp;MID(C26,3,3)&amp;"."&amp;MID(C26,6,3)&amp;"/"&amp;MID(C26,9,4)&amp;"-"&amp;MID(C26,13,2))</f>
        <v>02.274.833/0001-76</v>
      </c>
      <c r="E26" s="4" t="str">
        <f aca="false">IF(ISNA(MATCH(A26,cnpj!$A:$A,0)),"Lotação não existe na aba cnpj",IF(B26="","Sem CNPJ na aba cnpj","OK"))</f>
        <v>OK</v>
      </c>
    </row>
    <row r="27" customFormat="false" ht="15" hidden="false" customHeight="false" outlineLevel="0" collapsed="false">
      <c r="A27" s="4" t="n">
        <f aca="false">sisgi!A27</f>
        <v>9920</v>
      </c>
      <c r="B27" s="5" t="str">
        <f aca="false">IFERROR(IF(INDEX(cnpj!$B:$B,MATCH(A27,cnpj!$A:$A,0))="","",INDEX(cnpj!$B:$B,MATCH(A27,cnpj!$A:$A,0))),"")</f>
        <v>03.225.549/0001-72</v>
      </c>
      <c r="C27" s="5" t="str">
        <f aca="false">IF(B27="","",RIGHT("00000000000000"&amp;SUBSTITUTE(SUBSTITUTE(SUBSTITUTE(SUBSTITUTE(B27,".",""),"/",""),"-","")," ",""),14))</f>
        <v>03225549000172</v>
      </c>
      <c r="D27" s="5" t="str">
        <f aca="false">IF(C27="","",MID(C27,1,2)&amp;"."&amp;MID(C27,3,3)&amp;"."&amp;MID(C27,6,3)&amp;"/"&amp;MID(C27,9,4)&amp;"-"&amp;MID(C27,13,2))</f>
        <v>03.225.549/0001-72</v>
      </c>
      <c r="E27" s="4" t="str">
        <f aca="false">IF(ISNA(MATCH(A27,cnpj!$A:$A,0)),"Lotação não existe na aba cnpj",IF(B27="","Sem CNPJ na aba cnpj","OK"))</f>
        <v>OK</v>
      </c>
    </row>
    <row r="28" customFormat="false" ht="15" hidden="false" customHeight="false" outlineLevel="0" collapsed="false">
      <c r="A28" s="4" t="n">
        <f aca="false">sisgi!A28</f>
        <v>9938</v>
      </c>
      <c r="B28" s="5" t="str">
        <f aca="false">IFERROR(IF(INDEX(cnpj!$B:$B,MATCH(A28,cnpj!$A:$A,0))="","",INDEX(cnpj!$B:$B,MATCH(A28,cnpj!$A:$A,0))),"")</f>
        <v>02.030.988/0001-67</v>
      </c>
      <c r="C28" s="5" t="str">
        <f aca="false">IF(B28="","",RIGHT("00000000000000"&amp;SUBSTITUTE(SUBSTITUTE(SUBSTITUTE(SUBSTITUTE(B28,".",""),"/",""),"-","")," ",""),14))</f>
        <v>02030988000167</v>
      </c>
      <c r="D28" s="5" t="str">
        <f aca="false">IF(C28="","",MID(C28,1,2)&amp;"."&amp;MID(C28,3,3)&amp;"."&amp;MID(C28,6,3)&amp;"/"&amp;MID(C28,9,4)&amp;"-"&amp;MID(C28,13,2))</f>
        <v>02.030.988/0001-67</v>
      </c>
      <c r="E28" s="4" t="str">
        <f aca="false">IF(ISNA(MATCH(A28,cnpj!$A:$A,0)),"Lotação não existe na aba cnpj",IF(B28="","Sem CNPJ na aba cnpj","OK"))</f>
        <v>OK</v>
      </c>
    </row>
    <row r="29" customFormat="false" ht="15" hidden="false" customHeight="false" outlineLevel="0" collapsed="false">
      <c r="A29" s="4" t="n">
        <f aca="false">sisgi!A29</f>
        <v>9946</v>
      </c>
      <c r="B29" s="5" t="str">
        <f aca="false">IFERROR(IF(INDEX(cnpj!$B:$B,MATCH(A29,cnpj!$A:$A,0))="","",INDEX(cnpj!$B:$B,MATCH(A29,cnpj!$A:$A,0))),"")</f>
        <v>03.186.262/0001-80</v>
      </c>
      <c r="C29" s="5" t="str">
        <f aca="false">IF(B29="","",RIGHT("00000000000000"&amp;SUBSTITUTE(SUBSTITUTE(SUBSTITUTE(SUBSTITUTE(B29,".",""),"/",""),"-","")," ",""),14))</f>
        <v>03186262000180</v>
      </c>
      <c r="D29" s="5" t="str">
        <f aca="false">IF(C29="","",MID(C29,1,2)&amp;"."&amp;MID(C29,3,3)&amp;"."&amp;MID(C29,6,3)&amp;"/"&amp;MID(C29,9,4)&amp;"-"&amp;MID(C29,13,2))</f>
        <v>03.186.262/0001-80</v>
      </c>
      <c r="E29" s="4" t="str">
        <f aca="false">IF(ISNA(MATCH(A29,cnpj!$A:$A,0)),"Lotação não existe na aba cnpj",IF(B29="","Sem CNPJ na aba cnpj","OK"))</f>
        <v>OK</v>
      </c>
    </row>
    <row r="30" customFormat="false" ht="15" hidden="false" customHeight="false" outlineLevel="0" collapsed="false">
      <c r="A30" s="4" t="n">
        <f aca="false">sisgi!A30</f>
        <v>10057</v>
      </c>
      <c r="B30" s="5" t="str">
        <f aca="false">IFERROR(IF(INDEX(cnpj!$B:$B,MATCH(A30,cnpj!$A:$A,0))="","",INDEX(cnpj!$B:$B,MATCH(A30,cnpj!$A:$A,0))),"")</f>
        <v>02.362.443/0001-58</v>
      </c>
      <c r="C30" s="5" t="str">
        <f aca="false">IF(B30="","",RIGHT("00000000000000"&amp;SUBSTITUTE(SUBSTITUTE(SUBSTITUTE(SUBSTITUTE(B30,".",""),"/",""),"-","")," ",""),14))</f>
        <v>02362443000158</v>
      </c>
      <c r="D30" s="5" t="str">
        <f aca="false">IF(C30="","",MID(C30,1,2)&amp;"."&amp;MID(C30,3,3)&amp;"."&amp;MID(C30,6,3)&amp;"/"&amp;MID(C30,9,4)&amp;"-"&amp;MID(C30,13,2))</f>
        <v>02.362.443/0001-58</v>
      </c>
      <c r="E30" s="4" t="str">
        <f aca="false">IF(ISNA(MATCH(A30,cnpj!$A:$A,0)),"Lotação não existe na aba cnpj",IF(B30="","Sem CNPJ na aba cnpj","OK"))</f>
        <v>OK</v>
      </c>
    </row>
    <row r="31" customFormat="false" ht="15" hidden="false" customHeight="false" outlineLevel="0" collapsed="false">
      <c r="A31" s="4" t="n">
        <f aca="false">sisgi!A31</f>
        <v>10065</v>
      </c>
      <c r="B31" s="5" t="str">
        <f aca="false">IFERROR(IF(INDEX(cnpj!$B:$B,MATCH(A31,cnpj!$A:$A,0))="","",INDEX(cnpj!$B:$B,MATCH(A31,cnpj!$A:$A,0))),"")</f>
        <v>02.039.556/0001-17</v>
      </c>
      <c r="C31" s="5" t="str">
        <f aca="false">IF(B31="","",RIGHT("00000000000000"&amp;SUBSTITUTE(SUBSTITUTE(SUBSTITUTE(SUBSTITUTE(B31,".",""),"/",""),"-","")," ",""),14))</f>
        <v>02039556000117</v>
      </c>
      <c r="D31" s="5" t="str">
        <f aca="false">IF(C31="","",MID(C31,1,2)&amp;"."&amp;MID(C31,3,3)&amp;"."&amp;MID(C31,6,3)&amp;"/"&amp;MID(C31,9,4)&amp;"-"&amp;MID(C31,13,2))</f>
        <v>02.039.556/0001-17</v>
      </c>
      <c r="E31" s="4" t="str">
        <f aca="false">IF(ISNA(MATCH(A31,cnpj!$A:$A,0)),"Lotação não existe na aba cnpj",IF(B31="","Sem CNPJ na aba cnpj","OK"))</f>
        <v>OK</v>
      </c>
    </row>
    <row r="32" customFormat="false" ht="15" hidden="false" customHeight="false" outlineLevel="0" collapsed="false">
      <c r="A32" s="4" t="n">
        <f aca="false">sisgi!A32</f>
        <v>10154</v>
      </c>
      <c r="B32" s="5" t="str">
        <f aca="false">IFERROR(IF(INDEX(cnpj!$B:$B,MATCH(A32,cnpj!$A:$A,0))="","",INDEX(cnpj!$B:$B,MATCH(A32,cnpj!$A:$A,0))),"")</f>
        <v>01.944.531/0001-03</v>
      </c>
      <c r="C32" s="5" t="str">
        <f aca="false">IF(B32="","",RIGHT("00000000000000"&amp;SUBSTITUTE(SUBSTITUTE(SUBSTITUTE(SUBSTITUTE(B32,".",""),"/",""),"-","")," ",""),14))</f>
        <v>01944531000103</v>
      </c>
      <c r="D32" s="5" t="str">
        <f aca="false">IF(C32="","",MID(C32,1,2)&amp;"."&amp;MID(C32,3,3)&amp;"."&amp;MID(C32,6,3)&amp;"/"&amp;MID(C32,9,4)&amp;"-"&amp;MID(C32,13,2))</f>
        <v>01.944.531/0001-03</v>
      </c>
      <c r="E32" s="4" t="str">
        <f aca="false">IF(ISNA(MATCH(A32,cnpj!$A:$A,0)),"Lotação não existe na aba cnpj",IF(B32="","Sem CNPJ na aba cnpj","OK"))</f>
        <v>OK</v>
      </c>
    </row>
    <row r="33" customFormat="false" ht="15" hidden="false" customHeight="false" outlineLevel="0" collapsed="false">
      <c r="A33" s="4" t="n">
        <f aca="false">sisgi!A33</f>
        <v>10189</v>
      </c>
      <c r="B33" s="5" t="str">
        <f aca="false">IFERROR(IF(INDEX(cnpj!$B:$B,MATCH(A33,cnpj!$A:$A,0))="","",INDEX(cnpj!$B:$B,MATCH(A33,cnpj!$A:$A,0))),"")</f>
        <v>01.967.820/0001-10</v>
      </c>
      <c r="C33" s="5" t="str">
        <f aca="false">IF(B33="","",RIGHT("00000000000000"&amp;SUBSTITUTE(SUBSTITUTE(SUBSTITUTE(SUBSTITUTE(B33,".",""),"/",""),"-","")," ",""),14))</f>
        <v>01967820000110</v>
      </c>
      <c r="D33" s="5" t="str">
        <f aca="false">IF(C33="","",MID(C33,1,2)&amp;"."&amp;MID(C33,3,3)&amp;"."&amp;MID(C33,6,3)&amp;"/"&amp;MID(C33,9,4)&amp;"-"&amp;MID(C33,13,2))</f>
        <v>01.967.820/0001-10</v>
      </c>
      <c r="E33" s="4" t="str">
        <f aca="false">IF(ISNA(MATCH(A33,cnpj!$A:$A,0)),"Lotação não existe na aba cnpj",IF(B33="","Sem CNPJ na aba cnpj","OK"))</f>
        <v>OK</v>
      </c>
    </row>
    <row r="34" customFormat="false" ht="15" hidden="false" customHeight="false" outlineLevel="0" collapsed="false">
      <c r="A34" s="4" t="n">
        <f aca="false">sisgi!A34</f>
        <v>10243</v>
      </c>
      <c r="B34" s="5" t="str">
        <f aca="false">IFERROR(IF(INDEX(cnpj!$B:$B,MATCH(A34,cnpj!$A:$A,0))="","",INDEX(cnpj!$B:$B,MATCH(A34,cnpj!$A:$A,0))),"")</f>
        <v>01.431.001/0001-53</v>
      </c>
      <c r="C34" s="5" t="str">
        <f aca="false">IF(B34="","",RIGHT("00000000000000"&amp;SUBSTITUTE(SUBSTITUTE(SUBSTITUTE(SUBSTITUTE(B34,".",""),"/",""),"-","")," ",""),14))</f>
        <v>01431001000153</v>
      </c>
      <c r="D34" s="5" t="str">
        <f aca="false">IF(C34="","",MID(C34,1,2)&amp;"."&amp;MID(C34,3,3)&amp;"."&amp;MID(C34,6,3)&amp;"/"&amp;MID(C34,9,4)&amp;"-"&amp;MID(C34,13,2))</f>
        <v>01.431.001/0001-53</v>
      </c>
      <c r="E34" s="4" t="str">
        <f aca="false">IF(ISNA(MATCH(A34,cnpj!$A:$A,0)),"Lotação não existe na aba cnpj",IF(B34="","Sem CNPJ na aba cnpj","OK"))</f>
        <v>OK</v>
      </c>
    </row>
    <row r="35" customFormat="false" ht="15" hidden="false" customHeight="false" outlineLevel="0" collapsed="false">
      <c r="A35" s="4" t="n">
        <f aca="false">sisgi!A35</f>
        <v>10260</v>
      </c>
      <c r="B35" s="5" t="str">
        <f aca="false">IFERROR(IF(INDEX(cnpj!$B:$B,MATCH(A35,cnpj!$A:$A,0))="","",INDEX(cnpj!$B:$B,MATCH(A35,cnpj!$A:$A,0))),"")</f>
        <v>01.939.381/0001-31</v>
      </c>
      <c r="C35" s="5" t="str">
        <f aca="false">IF(B35="","",RIGHT("00000000000000"&amp;SUBSTITUTE(SUBSTITUTE(SUBSTITUTE(SUBSTITUTE(B35,".",""),"/",""),"-","")," ",""),14))</f>
        <v>01939381000131</v>
      </c>
      <c r="D35" s="5" t="str">
        <f aca="false">IF(C35="","",MID(C35,1,2)&amp;"."&amp;MID(C35,3,3)&amp;"."&amp;MID(C35,6,3)&amp;"/"&amp;MID(C35,9,4)&amp;"-"&amp;MID(C35,13,2))</f>
        <v>01.939.381/0001-31</v>
      </c>
      <c r="E35" s="4" t="str">
        <f aca="false">IF(ISNA(MATCH(A35,cnpj!$A:$A,0)),"Lotação não existe na aba cnpj",IF(B35="","Sem CNPJ na aba cnpj","OK"))</f>
        <v>OK</v>
      </c>
    </row>
    <row r="36" customFormat="false" ht="15" hidden="false" customHeight="false" outlineLevel="0" collapsed="false">
      <c r="A36" s="4" t="n">
        <f aca="false">sisgi!A36</f>
        <v>10278</v>
      </c>
      <c r="B36" s="5" t="str">
        <f aca="false">IFERROR(IF(INDEX(cnpj!$B:$B,MATCH(A36,cnpj!$A:$A,0))="","",INDEX(cnpj!$B:$B,MATCH(A36,cnpj!$A:$A,0))),"")</f>
        <v>01.819.049/0001-33</v>
      </c>
      <c r="C36" s="5" t="str">
        <f aca="false">IF(B36="","",RIGHT("00000000000000"&amp;SUBSTITUTE(SUBSTITUTE(SUBSTITUTE(SUBSTITUTE(B36,".",""),"/",""),"-","")," ",""),14))</f>
        <v>01819049000133</v>
      </c>
      <c r="D36" s="5" t="str">
        <f aca="false">IF(C36="","",MID(C36,1,2)&amp;"."&amp;MID(C36,3,3)&amp;"."&amp;MID(C36,6,3)&amp;"/"&amp;MID(C36,9,4)&amp;"-"&amp;MID(C36,13,2))</f>
        <v>01.819.049/0001-33</v>
      </c>
      <c r="E36" s="4" t="str">
        <f aca="false">IF(ISNA(MATCH(A36,cnpj!$A:$A,0)),"Lotação não existe na aba cnpj",IF(B36="","Sem CNPJ na aba cnpj","OK"))</f>
        <v>OK</v>
      </c>
    </row>
    <row r="37" customFormat="false" ht="15" hidden="false" customHeight="false" outlineLevel="0" collapsed="false">
      <c r="A37" s="4" t="n">
        <f aca="false">sisgi!A37</f>
        <v>10340</v>
      </c>
      <c r="B37" s="5" t="str">
        <f aca="false">IFERROR(IF(INDEX(cnpj!$B:$B,MATCH(A37,cnpj!$A:$A,0))="","",INDEX(cnpj!$B:$B,MATCH(A37,cnpj!$A:$A,0))),"")</f>
        <v>02.587.001/0001-00</v>
      </c>
      <c r="C37" s="5" t="str">
        <f aca="false">IF(B37="","",RIGHT("00000000000000"&amp;SUBSTITUTE(SUBSTITUTE(SUBSTITUTE(SUBSTITUTE(B37,".",""),"/",""),"-","")," ",""),14))</f>
        <v>02587001000100</v>
      </c>
      <c r="D37" s="5" t="str">
        <f aca="false">IF(C37="","",MID(C37,1,2)&amp;"."&amp;MID(C37,3,3)&amp;"."&amp;MID(C37,6,3)&amp;"/"&amp;MID(C37,9,4)&amp;"-"&amp;MID(C37,13,2))</f>
        <v>02.587.001/0001-00</v>
      </c>
      <c r="E37" s="4" t="str">
        <f aca="false">IF(ISNA(MATCH(A37,cnpj!$A:$A,0)),"Lotação não existe na aba cnpj",IF(B37="","Sem CNPJ na aba cnpj","OK"))</f>
        <v>OK</v>
      </c>
    </row>
    <row r="38" customFormat="false" ht="15" hidden="false" customHeight="false" outlineLevel="0" collapsed="false">
      <c r="A38" s="4" t="n">
        <f aca="false">sisgi!A38</f>
        <v>10359</v>
      </c>
      <c r="B38" s="5" t="str">
        <f aca="false">IFERROR(IF(INDEX(cnpj!$B:$B,MATCH(A38,cnpj!$A:$A,0))="","",INDEX(cnpj!$B:$B,MATCH(A38,cnpj!$A:$A,0))),"")</f>
        <v>03.894.364/0001-50</v>
      </c>
      <c r="C38" s="5" t="str">
        <f aca="false">IF(B38="","",RIGHT("00000000000000"&amp;SUBSTITUTE(SUBSTITUTE(SUBSTITUTE(SUBSTITUTE(B38,".",""),"/",""),"-","")," ",""),14))</f>
        <v>03894364000150</v>
      </c>
      <c r="D38" s="5" t="str">
        <f aca="false">IF(C38="","",MID(C38,1,2)&amp;"."&amp;MID(C38,3,3)&amp;"."&amp;MID(C38,6,3)&amp;"/"&amp;MID(C38,9,4)&amp;"-"&amp;MID(C38,13,2))</f>
        <v>03.894.364/0001-50</v>
      </c>
      <c r="E38" s="4" t="str">
        <f aca="false">IF(ISNA(MATCH(A38,cnpj!$A:$A,0)),"Lotação não existe na aba cnpj",IF(B38="","Sem CNPJ na aba cnpj","OK"))</f>
        <v>OK</v>
      </c>
    </row>
    <row r="39" customFormat="false" ht="15" hidden="false" customHeight="false" outlineLevel="0" collapsed="false">
      <c r="A39" s="4" t="n">
        <f aca="false">sisgi!A39</f>
        <v>10405</v>
      </c>
      <c r="B39" s="5" t="str">
        <f aca="false">IFERROR(IF(INDEX(cnpj!$B:$B,MATCH(A39,cnpj!$A:$A,0))="","",INDEX(cnpj!$B:$B,MATCH(A39,cnpj!$A:$A,0))),"")</f>
        <v>02.509.704/0001-10</v>
      </c>
      <c r="C39" s="5" t="str">
        <f aca="false">IF(B39="","",RIGHT("00000000000000"&amp;SUBSTITUTE(SUBSTITUTE(SUBSTITUTE(SUBSTITUTE(B39,".",""),"/",""),"-","")," ",""),14))</f>
        <v>02509704000110</v>
      </c>
      <c r="D39" s="5" t="str">
        <f aca="false">IF(C39="","",MID(C39,1,2)&amp;"."&amp;MID(C39,3,3)&amp;"."&amp;MID(C39,6,3)&amp;"/"&amp;MID(C39,9,4)&amp;"-"&amp;MID(C39,13,2))</f>
        <v>02.509.704/0001-10</v>
      </c>
      <c r="E39" s="4" t="str">
        <f aca="false">IF(ISNA(MATCH(A39,cnpj!$A:$A,0)),"Lotação não existe na aba cnpj",IF(B39="","Sem CNPJ na aba cnpj","OK"))</f>
        <v>OK</v>
      </c>
    </row>
    <row r="40" customFormat="false" ht="15" hidden="false" customHeight="false" outlineLevel="0" collapsed="false">
      <c r="A40" s="4" t="n">
        <f aca="false">sisgi!A40</f>
        <v>10421</v>
      </c>
      <c r="B40" s="5" t="str">
        <f aca="false">IFERROR(IF(INDEX(cnpj!$B:$B,MATCH(A40,cnpj!$A:$A,0))="","",INDEX(cnpj!$B:$B,MATCH(A40,cnpj!$A:$A,0))),"")</f>
        <v>02.921.362/0001-40</v>
      </c>
      <c r="C40" s="5" t="str">
        <f aca="false">IF(B40="","",RIGHT("00000000000000"&amp;SUBSTITUTE(SUBSTITUTE(SUBSTITUTE(SUBSTITUTE(B40,".",""),"/",""),"-","")," ",""),14))</f>
        <v>02921362000140</v>
      </c>
      <c r="D40" s="5" t="str">
        <f aca="false">IF(C40="","",MID(C40,1,2)&amp;"."&amp;MID(C40,3,3)&amp;"."&amp;MID(C40,6,3)&amp;"/"&amp;MID(C40,9,4)&amp;"-"&amp;MID(C40,13,2))</f>
        <v>02.921.362/0001-40</v>
      </c>
      <c r="E40" s="4" t="str">
        <f aca="false">IF(ISNA(MATCH(A40,cnpj!$A:$A,0)),"Lotação não existe na aba cnpj",IF(B40="","Sem CNPJ na aba cnpj","OK"))</f>
        <v>OK</v>
      </c>
    </row>
    <row r="41" customFormat="false" ht="15" hidden="false" customHeight="false" outlineLevel="0" collapsed="false">
      <c r="A41" s="4" t="n">
        <f aca="false">sisgi!A41</f>
        <v>10430</v>
      </c>
      <c r="B41" s="5" t="str">
        <f aca="false">IFERROR(IF(INDEX(cnpj!$B:$B,MATCH(A41,cnpj!$A:$A,0))="","",INDEX(cnpj!$B:$B,MATCH(A41,cnpj!$A:$A,0))),"")</f>
        <v>03.271.923/0001-76</v>
      </c>
      <c r="C41" s="5" t="str">
        <f aca="false">IF(B41="","",RIGHT("00000000000000"&amp;SUBSTITUTE(SUBSTITUTE(SUBSTITUTE(SUBSTITUTE(B41,".",""),"/",""),"-","")," ",""),14))</f>
        <v>03271923000176</v>
      </c>
      <c r="D41" s="5" t="str">
        <f aca="false">IF(C41="","",MID(C41,1,2)&amp;"."&amp;MID(C41,3,3)&amp;"."&amp;MID(C41,6,3)&amp;"/"&amp;MID(C41,9,4)&amp;"-"&amp;MID(C41,13,2))</f>
        <v>03.271.923/0001-76</v>
      </c>
      <c r="E41" s="4" t="str">
        <f aca="false">IF(ISNA(MATCH(A41,cnpj!$A:$A,0)),"Lotação não existe na aba cnpj",IF(B41="","Sem CNPJ na aba cnpj","OK"))</f>
        <v>OK</v>
      </c>
    </row>
    <row r="42" customFormat="false" ht="15" hidden="false" customHeight="false" outlineLevel="0" collapsed="false">
      <c r="A42" s="4" t="n">
        <f aca="false">sisgi!A42</f>
        <v>10448</v>
      </c>
      <c r="B42" s="5" t="str">
        <f aca="false">IFERROR(IF(INDEX(cnpj!$B:$B,MATCH(A42,cnpj!$A:$A,0))="","",INDEX(cnpj!$B:$B,MATCH(A42,cnpj!$A:$A,0))),"")</f>
        <v>03.164.227/0001-60</v>
      </c>
      <c r="C42" s="5" t="str">
        <f aca="false">IF(B42="","",RIGHT("00000000000000"&amp;SUBSTITUTE(SUBSTITUTE(SUBSTITUTE(SUBSTITUTE(B42,".",""),"/",""),"-","")," ",""),14))</f>
        <v>03164227000160</v>
      </c>
      <c r="D42" s="5" t="str">
        <f aca="false">IF(C42="","",MID(C42,1,2)&amp;"."&amp;MID(C42,3,3)&amp;"."&amp;MID(C42,6,3)&amp;"/"&amp;MID(C42,9,4)&amp;"-"&amp;MID(C42,13,2))</f>
        <v>03.164.227/0001-60</v>
      </c>
      <c r="E42" s="4" t="str">
        <f aca="false">IF(ISNA(MATCH(A42,cnpj!$A:$A,0)),"Lotação não existe na aba cnpj",IF(B42="","Sem CNPJ na aba cnpj","OK"))</f>
        <v>OK</v>
      </c>
    </row>
    <row r="43" customFormat="false" ht="15" hidden="false" customHeight="false" outlineLevel="0" collapsed="false">
      <c r="A43" s="4" t="n">
        <f aca="false">sisgi!A43</f>
        <v>10456</v>
      </c>
      <c r="B43" s="5" t="str">
        <f aca="false">IFERROR(IF(INDEX(cnpj!$B:$B,MATCH(A43,cnpj!$A:$A,0))="","",INDEX(cnpj!$B:$B,MATCH(A43,cnpj!$A:$A,0))),"")</f>
        <v>03.324.133/0001-01</v>
      </c>
      <c r="C43" s="5" t="str">
        <f aca="false">IF(B43="","",RIGHT("00000000000000"&amp;SUBSTITUTE(SUBSTITUTE(SUBSTITUTE(SUBSTITUTE(B43,".",""),"/",""),"-","")," ",""),14))</f>
        <v>03324133000101</v>
      </c>
      <c r="D43" s="5" t="str">
        <f aca="false">IF(C43="","",MID(C43,1,2)&amp;"."&amp;MID(C43,3,3)&amp;"."&amp;MID(C43,6,3)&amp;"/"&amp;MID(C43,9,4)&amp;"-"&amp;MID(C43,13,2))</f>
        <v>03.324.133/0001-01</v>
      </c>
      <c r="E43" s="4" t="str">
        <f aca="false">IF(ISNA(MATCH(A43,cnpj!$A:$A,0)),"Lotação não existe na aba cnpj",IF(B43="","Sem CNPJ na aba cnpj","OK"))</f>
        <v>OK</v>
      </c>
    </row>
    <row r="44" customFormat="false" ht="15" hidden="false" customHeight="false" outlineLevel="0" collapsed="false">
      <c r="A44" s="4" t="n">
        <f aca="false">sisgi!A44</f>
        <v>10480</v>
      </c>
      <c r="B44" s="5" t="str">
        <f aca="false">IFERROR(IF(INDEX(cnpj!$B:$B,MATCH(A44,cnpj!$A:$A,0))="","",INDEX(cnpj!$B:$B,MATCH(A44,cnpj!$A:$A,0))),"")</f>
        <v>02.861.134/0001-22</v>
      </c>
      <c r="C44" s="5" t="str">
        <f aca="false">IF(B44="","",RIGHT("00000000000000"&amp;SUBSTITUTE(SUBSTITUTE(SUBSTITUTE(SUBSTITUTE(B44,".",""),"/",""),"-","")," ",""),14))</f>
        <v>02861134000122</v>
      </c>
      <c r="D44" s="5" t="str">
        <f aca="false">IF(C44="","",MID(C44,1,2)&amp;"."&amp;MID(C44,3,3)&amp;"."&amp;MID(C44,6,3)&amp;"/"&amp;MID(C44,9,4)&amp;"-"&amp;MID(C44,13,2))</f>
        <v>02.861.134/0001-22</v>
      </c>
      <c r="E44" s="4" t="str">
        <f aca="false">IF(ISNA(MATCH(A44,cnpj!$A:$A,0)),"Lotação não existe na aba cnpj",IF(B44="","Sem CNPJ na aba cnpj","OK"))</f>
        <v>OK</v>
      </c>
    </row>
    <row r="45" customFormat="false" ht="15" hidden="false" customHeight="false" outlineLevel="0" collapsed="false">
      <c r="A45" s="4" t="n">
        <f aca="false">sisgi!A45</f>
        <v>10502</v>
      </c>
      <c r="B45" s="5" t="str">
        <f aca="false">IFERROR(IF(INDEX(cnpj!$B:$B,MATCH(A45,cnpj!$A:$A,0))="","",INDEX(cnpj!$B:$B,MATCH(A45,cnpj!$A:$A,0))),"")</f>
        <v>03.556.851/0001-03</v>
      </c>
      <c r="C45" s="5" t="str">
        <f aca="false">IF(B45="","",RIGHT("00000000000000"&amp;SUBSTITUTE(SUBSTITUTE(SUBSTITUTE(SUBSTITUTE(B45,".",""),"/",""),"-","")," ",""),14))</f>
        <v>03556851000103</v>
      </c>
      <c r="D45" s="5" t="str">
        <f aca="false">IF(C45="","",MID(C45,1,2)&amp;"."&amp;MID(C45,3,3)&amp;"."&amp;MID(C45,6,3)&amp;"/"&amp;MID(C45,9,4)&amp;"-"&amp;MID(C45,13,2))</f>
        <v>03.556.851/0001-03</v>
      </c>
      <c r="E45" s="4" t="str">
        <f aca="false">IF(ISNA(MATCH(A45,cnpj!$A:$A,0)),"Lotação não existe na aba cnpj",IF(B45="","Sem CNPJ na aba cnpj","OK"))</f>
        <v>OK</v>
      </c>
    </row>
    <row r="46" customFormat="false" ht="15" hidden="false" customHeight="false" outlineLevel="0" collapsed="false">
      <c r="A46" s="4" t="n">
        <f aca="false">sisgi!A46</f>
        <v>10588</v>
      </c>
      <c r="B46" s="5" t="str">
        <f aca="false">IFERROR(IF(INDEX(cnpj!$B:$B,MATCH(A46,cnpj!$A:$A,0))="","",INDEX(cnpj!$B:$B,MATCH(A46,cnpj!$A:$A,0))),"")</f>
        <v>03.136.943/0001-34</v>
      </c>
      <c r="C46" s="5" t="str">
        <f aca="false">IF(B46="","",RIGHT("00000000000000"&amp;SUBSTITUTE(SUBSTITUTE(SUBSTITUTE(SUBSTITUTE(B46,".",""),"/",""),"-","")," ",""),14))</f>
        <v>03136943000134</v>
      </c>
      <c r="D46" s="5" t="str">
        <f aca="false">IF(C46="","",MID(C46,1,2)&amp;"."&amp;MID(C46,3,3)&amp;"."&amp;MID(C46,6,3)&amp;"/"&amp;MID(C46,9,4)&amp;"-"&amp;MID(C46,13,2))</f>
        <v>03.136.943/0001-34</v>
      </c>
      <c r="E46" s="4" t="str">
        <f aca="false">IF(ISNA(MATCH(A46,cnpj!$A:$A,0)),"Lotação não existe na aba cnpj",IF(B46="","Sem CNPJ na aba cnpj","OK"))</f>
        <v>OK</v>
      </c>
    </row>
    <row r="47" customFormat="false" ht="15" hidden="false" customHeight="false" outlineLevel="0" collapsed="false">
      <c r="A47" s="4" t="n">
        <f aca="false">sisgi!A47</f>
        <v>10596</v>
      </c>
      <c r="B47" s="5" t="str">
        <f aca="false">IFERROR(IF(INDEX(cnpj!$B:$B,MATCH(A47,cnpj!$A:$A,0))="","",INDEX(cnpj!$B:$B,MATCH(A47,cnpj!$A:$A,0))),"")</f>
        <v>06.139.645/0001-96</v>
      </c>
      <c r="C47" s="5" t="str">
        <f aca="false">IF(B47="","",RIGHT("00000000000000"&amp;SUBSTITUTE(SUBSTITUTE(SUBSTITUTE(SUBSTITUTE(B47,".",""),"/",""),"-","")," ",""),14))</f>
        <v>06139645000196</v>
      </c>
      <c r="D47" s="5" t="str">
        <f aca="false">IF(C47="","",MID(C47,1,2)&amp;"."&amp;MID(C47,3,3)&amp;"."&amp;MID(C47,6,3)&amp;"/"&amp;MID(C47,9,4)&amp;"-"&amp;MID(C47,13,2))</f>
        <v>06.139.645/0001-96</v>
      </c>
      <c r="E47" s="4" t="str">
        <f aca="false">IF(ISNA(MATCH(A47,cnpj!$A:$A,0)),"Lotação não existe na aba cnpj",IF(B47="","Sem CNPJ na aba cnpj","OK"))</f>
        <v>OK</v>
      </c>
    </row>
    <row r="48" customFormat="false" ht="15" hidden="false" customHeight="false" outlineLevel="0" collapsed="false">
      <c r="A48" s="4" t="n">
        <f aca="false">sisgi!A48</f>
        <v>10642</v>
      </c>
      <c r="B48" s="5" t="str">
        <f aca="false">IFERROR(IF(INDEX(cnpj!$B:$B,MATCH(A48,cnpj!$A:$A,0))="","",INDEX(cnpj!$B:$B,MATCH(A48,cnpj!$A:$A,0))),"")</f>
        <v>03.143.478/0001-69</v>
      </c>
      <c r="C48" s="5" t="str">
        <f aca="false">IF(B48="","",RIGHT("00000000000000"&amp;SUBSTITUTE(SUBSTITUTE(SUBSTITUTE(SUBSTITUTE(B48,".",""),"/",""),"-","")," ",""),14))</f>
        <v>03143478000169</v>
      </c>
      <c r="D48" s="5" t="str">
        <f aca="false">IF(C48="","",MID(C48,1,2)&amp;"."&amp;MID(C48,3,3)&amp;"."&amp;MID(C48,6,3)&amp;"/"&amp;MID(C48,9,4)&amp;"-"&amp;MID(C48,13,2))</f>
        <v>03.143.478/0001-69</v>
      </c>
      <c r="E48" s="4" t="str">
        <f aca="false">IF(ISNA(MATCH(A48,cnpj!$A:$A,0)),"Lotação não existe na aba cnpj",IF(B48="","Sem CNPJ na aba cnpj","OK"))</f>
        <v>OK</v>
      </c>
    </row>
    <row r="49" customFormat="false" ht="15" hidden="false" customHeight="false" outlineLevel="0" collapsed="false">
      <c r="A49" s="4" t="n">
        <f aca="false">sisgi!A49</f>
        <v>10693</v>
      </c>
      <c r="B49" s="5" t="str">
        <f aca="false">IFERROR(IF(INDEX(cnpj!$B:$B,MATCH(A49,cnpj!$A:$A,0))="","",INDEX(cnpj!$B:$B,MATCH(A49,cnpj!$A:$A,0))),"")</f>
        <v>06.147.083/0001-22</v>
      </c>
      <c r="C49" s="5" t="str">
        <f aca="false">IF(B49="","",RIGHT("00000000000000"&amp;SUBSTITUTE(SUBSTITUTE(SUBSTITUTE(SUBSTITUTE(B49,".",""),"/",""),"-","")," ",""),14))</f>
        <v>06147083000122</v>
      </c>
      <c r="D49" s="5" t="str">
        <f aca="false">IF(C49="","",MID(C49,1,2)&amp;"."&amp;MID(C49,3,3)&amp;"."&amp;MID(C49,6,3)&amp;"/"&amp;MID(C49,9,4)&amp;"-"&amp;MID(C49,13,2))</f>
        <v>06.147.083/0001-22</v>
      </c>
      <c r="E49" s="4" t="str">
        <f aca="false">IF(ISNA(MATCH(A49,cnpj!$A:$A,0)),"Lotação não existe na aba cnpj",IF(B49="","Sem CNPJ na aba cnpj","OK"))</f>
        <v>OK</v>
      </c>
    </row>
    <row r="50" customFormat="false" ht="15" hidden="false" customHeight="false" outlineLevel="0" collapsed="false">
      <c r="A50" s="4" t="n">
        <f aca="false">sisgi!A50</f>
        <v>10707</v>
      </c>
      <c r="B50" s="5" t="str">
        <f aca="false">IFERROR(IF(INDEX(cnpj!$B:$B,MATCH(A50,cnpj!$A:$A,0))="","",INDEX(cnpj!$B:$B,MATCH(A50,cnpj!$A:$A,0))),"")</f>
        <v>03.133.693/0001-89</v>
      </c>
      <c r="C50" s="5" t="str">
        <f aca="false">IF(B50="","",RIGHT("00000000000000"&amp;SUBSTITUTE(SUBSTITUTE(SUBSTITUTE(SUBSTITUTE(B50,".",""),"/",""),"-","")," ",""),14))</f>
        <v>03133693000189</v>
      </c>
      <c r="D50" s="5" t="str">
        <f aca="false">IF(C50="","",MID(C50,1,2)&amp;"."&amp;MID(C50,3,3)&amp;"."&amp;MID(C50,6,3)&amp;"/"&amp;MID(C50,9,4)&amp;"-"&amp;MID(C50,13,2))</f>
        <v>03.133.693/0001-89</v>
      </c>
      <c r="E50" s="4" t="str">
        <f aca="false">IF(ISNA(MATCH(A50,cnpj!$A:$A,0)),"Lotação não existe na aba cnpj",IF(B50="","Sem CNPJ na aba cnpj","OK"))</f>
        <v>OK</v>
      </c>
    </row>
    <row r="51" customFormat="false" ht="15" hidden="false" customHeight="false" outlineLevel="0" collapsed="false">
      <c r="A51" s="4" t="n">
        <f aca="false">sisgi!A51</f>
        <v>10731</v>
      </c>
      <c r="B51" s="5" t="str">
        <f aca="false">IFERROR(IF(INDEX(cnpj!$B:$B,MATCH(A51,cnpj!$A:$A,0))="","",INDEX(cnpj!$B:$B,MATCH(A51,cnpj!$A:$A,0))),"")</f>
        <v>03.997.507/0001-50</v>
      </c>
      <c r="C51" s="5" t="str">
        <f aca="false">IF(B51="","",RIGHT("00000000000000"&amp;SUBSTITUTE(SUBSTITUTE(SUBSTITUTE(SUBSTITUTE(B51,".",""),"/",""),"-","")," ",""),14))</f>
        <v>03997507000150</v>
      </c>
      <c r="D51" s="5" t="str">
        <f aca="false">IF(C51="","",MID(C51,1,2)&amp;"."&amp;MID(C51,3,3)&amp;"."&amp;MID(C51,6,3)&amp;"/"&amp;MID(C51,9,4)&amp;"-"&amp;MID(C51,13,2))</f>
        <v>03.997.507/0001-50</v>
      </c>
      <c r="E51" s="4" t="str">
        <f aca="false">IF(ISNA(MATCH(A51,cnpj!$A:$A,0)),"Lotação não existe na aba cnpj",IF(B51="","Sem CNPJ na aba cnpj","OK"))</f>
        <v>OK</v>
      </c>
    </row>
    <row r="52" customFormat="false" ht="15" hidden="false" customHeight="false" outlineLevel="0" collapsed="false">
      <c r="A52" s="4" t="n">
        <f aca="false">sisgi!A52</f>
        <v>10758</v>
      </c>
      <c r="B52" s="5" t="str">
        <f aca="false">IFERROR(IF(INDEX(cnpj!$B:$B,MATCH(A52,cnpj!$A:$A,0))="","",INDEX(cnpj!$B:$B,MATCH(A52,cnpj!$A:$A,0))),"")</f>
        <v>02.039.557/0001-61</v>
      </c>
      <c r="C52" s="5" t="str">
        <f aca="false">IF(B52="","",RIGHT("00000000000000"&amp;SUBSTITUTE(SUBSTITUTE(SUBSTITUTE(SUBSTITUTE(B52,".",""),"/",""),"-","")," ",""),14))</f>
        <v>02039557000161</v>
      </c>
      <c r="D52" s="5" t="str">
        <f aca="false">IF(C52="","",MID(C52,1,2)&amp;"."&amp;MID(C52,3,3)&amp;"."&amp;MID(C52,6,3)&amp;"/"&amp;MID(C52,9,4)&amp;"-"&amp;MID(C52,13,2))</f>
        <v>02.039.557/0001-61</v>
      </c>
      <c r="E52" s="4" t="str">
        <f aca="false">IF(ISNA(MATCH(A52,cnpj!$A:$A,0)),"Lotação não existe na aba cnpj",IF(B52="","Sem CNPJ na aba cnpj","OK"))</f>
        <v>OK</v>
      </c>
    </row>
    <row r="53" customFormat="false" ht="15" hidden="false" customHeight="false" outlineLevel="0" collapsed="false">
      <c r="A53" s="4" t="n">
        <f aca="false">sisgi!A53</f>
        <v>10766</v>
      </c>
      <c r="B53" s="5" t="str">
        <f aca="false">IFERROR(IF(INDEX(cnpj!$B:$B,MATCH(A53,cnpj!$A:$A,0))="","",INDEX(cnpj!$B:$B,MATCH(A53,cnpj!$A:$A,0))),"")</f>
        <v>01.546.012/0001-89</v>
      </c>
      <c r="C53" s="5" t="str">
        <f aca="false">IF(B53="","",RIGHT("00000000000000"&amp;SUBSTITUTE(SUBSTITUTE(SUBSTITUTE(SUBSTITUTE(B53,".",""),"/",""),"-","")," ",""),14))</f>
        <v>01546012000189</v>
      </c>
      <c r="D53" s="5" t="str">
        <f aca="false">IF(C53="","",MID(C53,1,2)&amp;"."&amp;MID(C53,3,3)&amp;"."&amp;MID(C53,6,3)&amp;"/"&amp;MID(C53,9,4)&amp;"-"&amp;MID(C53,13,2))</f>
        <v>01.546.012/0001-89</v>
      </c>
      <c r="E53" s="4" t="str">
        <f aca="false">IF(ISNA(MATCH(A53,cnpj!$A:$A,0)),"Lotação não existe na aba cnpj",IF(B53="","Sem CNPJ na aba cnpj","OK"))</f>
        <v>OK</v>
      </c>
    </row>
    <row r="54" customFormat="false" ht="15" hidden="false" customHeight="false" outlineLevel="0" collapsed="false">
      <c r="A54" s="4" t="n">
        <f aca="false">sisgi!A54</f>
        <v>10774</v>
      </c>
      <c r="B54" s="5" t="str">
        <f aca="false">IFERROR(IF(INDEX(cnpj!$B:$B,MATCH(A54,cnpj!$A:$A,0))="","",INDEX(cnpj!$B:$B,MATCH(A54,cnpj!$A:$A,0))),"")</f>
        <v>01.426.353/0001-10</v>
      </c>
      <c r="C54" s="5" t="str">
        <f aca="false">IF(B54="","",RIGHT("00000000000000"&amp;SUBSTITUTE(SUBSTITUTE(SUBSTITUTE(SUBSTITUTE(B54,".",""),"/",""),"-","")," ",""),14))</f>
        <v>01426353000110</v>
      </c>
      <c r="D54" s="5" t="str">
        <f aca="false">IF(C54="","",MID(C54,1,2)&amp;"."&amp;MID(C54,3,3)&amp;"."&amp;MID(C54,6,3)&amp;"/"&amp;MID(C54,9,4)&amp;"-"&amp;MID(C54,13,2))</f>
        <v>01.426.353/0001-10</v>
      </c>
      <c r="E54" s="4" t="str">
        <f aca="false">IF(ISNA(MATCH(A54,cnpj!$A:$A,0)),"Lotação não existe na aba cnpj",IF(B54="","Sem CNPJ na aba cnpj","OK"))</f>
        <v>OK</v>
      </c>
    </row>
    <row r="55" customFormat="false" ht="15" hidden="false" customHeight="false" outlineLevel="0" collapsed="false">
      <c r="A55" s="4" t="n">
        <f aca="false">sisgi!A55</f>
        <v>10804</v>
      </c>
      <c r="B55" s="5" t="str">
        <f aca="false">IFERROR(IF(INDEX(cnpj!$B:$B,MATCH(A55,cnpj!$A:$A,0))="","",INDEX(cnpj!$B:$B,MATCH(A55,cnpj!$A:$A,0))),"")</f>
        <v>01.421.013/0001-05</v>
      </c>
      <c r="C55" s="5" t="str">
        <f aca="false">IF(B55="","",RIGHT("00000000000000"&amp;SUBSTITUTE(SUBSTITUTE(SUBSTITUTE(SUBSTITUTE(B55,".",""),"/",""),"-","")," ",""),14))</f>
        <v>01421013000105</v>
      </c>
      <c r="D55" s="5" t="str">
        <f aca="false">IF(C55="","",MID(C55,1,2)&amp;"."&amp;MID(C55,3,3)&amp;"."&amp;MID(C55,6,3)&amp;"/"&amp;MID(C55,9,4)&amp;"-"&amp;MID(C55,13,2))</f>
        <v>01.421.013/0001-05</v>
      </c>
      <c r="E55" s="4" t="str">
        <f aca="false">IF(ISNA(MATCH(A55,cnpj!$A:$A,0)),"Lotação não existe na aba cnpj",IF(B55="","Sem CNPJ na aba cnpj","OK"))</f>
        <v>OK</v>
      </c>
    </row>
    <row r="56" customFormat="false" ht="15" hidden="false" customHeight="false" outlineLevel="0" collapsed="false">
      <c r="A56" s="4" t="n">
        <f aca="false">sisgi!A56</f>
        <v>10855</v>
      </c>
      <c r="B56" s="5" t="str">
        <f aca="false">IFERROR(IF(INDEX(cnpj!$B:$B,MATCH(A56,cnpj!$A:$A,0))="","",INDEX(cnpj!$B:$B,MATCH(A56,cnpj!$A:$A,0))),"")</f>
        <v>01.712.228/0001-77</v>
      </c>
      <c r="C56" s="5" t="str">
        <f aca="false">IF(B56="","",RIGHT("00000000000000"&amp;SUBSTITUTE(SUBSTITUTE(SUBSTITUTE(SUBSTITUTE(B56,".",""),"/",""),"-","")," ",""),14))</f>
        <v>01712228000177</v>
      </c>
      <c r="D56" s="5" t="str">
        <f aca="false">IF(C56="","",MID(C56,1,2)&amp;"."&amp;MID(C56,3,3)&amp;"."&amp;MID(C56,6,3)&amp;"/"&amp;MID(C56,9,4)&amp;"-"&amp;MID(C56,13,2))</f>
        <v>01.712.228/0001-77</v>
      </c>
      <c r="E56" s="4" t="str">
        <f aca="false">IF(ISNA(MATCH(A56,cnpj!$A:$A,0)),"Lotação não existe na aba cnpj",IF(B56="","Sem CNPJ na aba cnpj","OK"))</f>
        <v>OK</v>
      </c>
    </row>
    <row r="57" customFormat="false" ht="15" hidden="false" customHeight="false" outlineLevel="0" collapsed="false">
      <c r="A57" s="4" t="n">
        <f aca="false">sisgi!A57</f>
        <v>10863</v>
      </c>
      <c r="B57" s="5" t="str">
        <f aca="false">IFERROR(IF(INDEX(cnpj!$B:$B,MATCH(A57,cnpj!$A:$A,0))="","",INDEX(cnpj!$B:$B,MATCH(A57,cnpj!$A:$A,0))),"")</f>
        <v>07.876.255/0001-61</v>
      </c>
      <c r="C57" s="5" t="str">
        <f aca="false">IF(B57="","",RIGHT("00000000000000"&amp;SUBSTITUTE(SUBSTITUTE(SUBSTITUTE(SUBSTITUTE(B57,".",""),"/",""),"-","")," ",""),14))</f>
        <v>07876255000161</v>
      </c>
      <c r="D57" s="5" t="str">
        <f aca="false">IF(C57="","",MID(C57,1,2)&amp;"."&amp;MID(C57,3,3)&amp;"."&amp;MID(C57,6,3)&amp;"/"&amp;MID(C57,9,4)&amp;"-"&amp;MID(C57,13,2))</f>
        <v>07.876.255/0001-61</v>
      </c>
      <c r="E57" s="4" t="str">
        <f aca="false">IF(ISNA(MATCH(A57,cnpj!$A:$A,0)),"Lotação não existe na aba cnpj",IF(B57="","Sem CNPJ na aba cnpj","OK"))</f>
        <v>OK</v>
      </c>
    </row>
    <row r="58" customFormat="false" ht="15" hidden="false" customHeight="false" outlineLevel="0" collapsed="false">
      <c r="A58" s="4" t="n">
        <f aca="false">sisgi!A58</f>
        <v>10871</v>
      </c>
      <c r="B58" s="5" t="str">
        <f aca="false">IFERROR(IF(INDEX(cnpj!$B:$B,MATCH(A58,cnpj!$A:$A,0))="","",INDEX(cnpj!$B:$B,MATCH(A58,cnpj!$A:$A,0))),"")</f>
        <v>03.945.490/0001-97</v>
      </c>
      <c r="C58" s="5" t="str">
        <f aca="false">IF(B58="","",RIGHT("00000000000000"&amp;SUBSTITUTE(SUBSTITUTE(SUBSTITUTE(SUBSTITUTE(B58,".",""),"/",""),"-","")," ",""),14))</f>
        <v>03945490000197</v>
      </c>
      <c r="D58" s="5" t="str">
        <f aca="false">IF(C58="","",MID(C58,1,2)&amp;"."&amp;MID(C58,3,3)&amp;"."&amp;MID(C58,6,3)&amp;"/"&amp;MID(C58,9,4)&amp;"-"&amp;MID(C58,13,2))</f>
        <v>03.945.490/0001-97</v>
      </c>
      <c r="E58" s="4" t="str">
        <f aca="false">IF(ISNA(MATCH(A58,cnpj!$A:$A,0)),"Lotação não existe na aba cnpj",IF(B58="","Sem CNPJ na aba cnpj","OK"))</f>
        <v>OK</v>
      </c>
    </row>
    <row r="59" customFormat="false" ht="15" hidden="false" customHeight="false" outlineLevel="0" collapsed="false">
      <c r="A59" s="4" t="n">
        <f aca="false">sisgi!A59</f>
        <v>10880</v>
      </c>
      <c r="B59" s="5" t="str">
        <f aca="false">IFERROR(IF(INDEX(cnpj!$B:$B,MATCH(A59,cnpj!$A:$A,0))="","",INDEX(cnpj!$B:$B,MATCH(A59,cnpj!$A:$A,0))),"")</f>
        <v>07.426.510/0001-74</v>
      </c>
      <c r="C59" s="5" t="str">
        <f aca="false">IF(B59="","",RIGHT("00000000000000"&amp;SUBSTITUTE(SUBSTITUTE(SUBSTITUTE(SUBSTITUTE(B59,".",""),"/",""),"-","")," ",""),14))</f>
        <v>07426510000174</v>
      </c>
      <c r="D59" s="5" t="str">
        <f aca="false">IF(C59="","",MID(C59,1,2)&amp;"."&amp;MID(C59,3,3)&amp;"."&amp;MID(C59,6,3)&amp;"/"&amp;MID(C59,9,4)&amp;"-"&amp;MID(C59,13,2))</f>
        <v>07.426.510/0001-74</v>
      </c>
      <c r="E59" s="4" t="str">
        <f aca="false">IF(ISNA(MATCH(A59,cnpj!$A:$A,0)),"Lotação não existe na aba cnpj",IF(B59="","Sem CNPJ na aba cnpj","OK"))</f>
        <v>OK</v>
      </c>
    </row>
    <row r="60" customFormat="false" ht="15" hidden="false" customHeight="false" outlineLevel="0" collapsed="false">
      <c r="A60" s="4" t="n">
        <f aca="false">sisgi!A60</f>
        <v>10901</v>
      </c>
      <c r="B60" s="5" t="str">
        <f aca="false">IFERROR(IF(INDEX(cnpj!$B:$B,MATCH(A60,cnpj!$A:$A,0))="","",INDEX(cnpj!$B:$B,MATCH(A60,cnpj!$A:$A,0))),"")</f>
        <v>07.876.354/0001-43</v>
      </c>
      <c r="C60" s="5" t="str">
        <f aca="false">IF(B60="","",RIGHT("00000000000000"&amp;SUBSTITUTE(SUBSTITUTE(SUBSTITUTE(SUBSTITUTE(B60,".",""),"/",""),"-","")," ",""),14))</f>
        <v>07876354000143</v>
      </c>
      <c r="D60" s="5" t="str">
        <f aca="false">IF(C60="","",MID(C60,1,2)&amp;"."&amp;MID(C60,3,3)&amp;"."&amp;MID(C60,6,3)&amp;"/"&amp;MID(C60,9,4)&amp;"-"&amp;MID(C60,13,2))</f>
        <v>07.876.354/0001-43</v>
      </c>
      <c r="E60" s="4" t="str">
        <f aca="false">IF(ISNA(MATCH(A60,cnpj!$A:$A,0)),"Lotação não existe na aba cnpj",IF(B60="","Sem CNPJ na aba cnpj","OK"))</f>
        <v>OK</v>
      </c>
    </row>
    <row r="61" customFormat="false" ht="15" hidden="false" customHeight="false" outlineLevel="0" collapsed="false">
      <c r="A61" s="4" t="n">
        <f aca="false">sisgi!A61</f>
        <v>10910</v>
      </c>
      <c r="B61" s="5" t="str">
        <f aca="false">IFERROR(IF(INDEX(cnpj!$B:$B,MATCH(A61,cnpj!$A:$A,0))="","",INDEX(cnpj!$B:$B,MATCH(A61,cnpj!$A:$A,0))),"")</f>
        <v>15.032.139/0001-94</v>
      </c>
      <c r="C61" s="5" t="str">
        <f aca="false">IF(B61="","",RIGHT("00000000000000"&amp;SUBSTITUTE(SUBSTITUTE(SUBSTITUTE(SUBSTITUTE(B61,".",""),"/",""),"-","")," ",""),14))</f>
        <v>15032139000194</v>
      </c>
      <c r="D61" s="5" t="str">
        <f aca="false">IF(C61="","",MID(C61,1,2)&amp;"."&amp;MID(C61,3,3)&amp;"."&amp;MID(C61,6,3)&amp;"/"&amp;MID(C61,9,4)&amp;"-"&amp;MID(C61,13,2))</f>
        <v>15.032.139/0001-94</v>
      </c>
      <c r="E61" s="4" t="str">
        <f aca="false">IF(ISNA(MATCH(A61,cnpj!$A:$A,0)),"Lotação não existe na aba cnpj",IF(B61="","Sem CNPJ na aba cnpj","OK"))</f>
        <v>OK</v>
      </c>
    </row>
    <row r="62" customFormat="false" ht="15" hidden="false" customHeight="false" outlineLevel="0" collapsed="false">
      <c r="A62" s="4" t="n">
        <f aca="false">sisgi!A62</f>
        <v>10928</v>
      </c>
      <c r="B62" s="5" t="str">
        <f aca="false">IFERROR(IF(INDEX(cnpj!$B:$B,MATCH(A62,cnpj!$A:$A,0))="","",INDEX(cnpj!$B:$B,MATCH(A62,cnpj!$A:$A,0))),"")</f>
        <v>01.124.735/0001-90</v>
      </c>
      <c r="C62" s="5" t="str">
        <f aca="false">IF(B62="","",RIGHT("00000000000000"&amp;SUBSTITUTE(SUBSTITUTE(SUBSTITUTE(SUBSTITUTE(B62,".",""),"/",""),"-","")," ",""),14))</f>
        <v>01124735000190</v>
      </c>
      <c r="D62" s="5" t="str">
        <f aca="false">IF(C62="","",MID(C62,1,2)&amp;"."&amp;MID(C62,3,3)&amp;"."&amp;MID(C62,6,3)&amp;"/"&amp;MID(C62,9,4)&amp;"-"&amp;MID(C62,13,2))</f>
        <v>01.124.735/0001-90</v>
      </c>
      <c r="E62" s="4" t="str">
        <f aca="false">IF(ISNA(MATCH(A62,cnpj!$A:$A,0)),"Lotação não existe na aba cnpj",IF(B62="","Sem CNPJ na aba cnpj","OK"))</f>
        <v>OK</v>
      </c>
    </row>
    <row r="63" customFormat="false" ht="15" hidden="false" customHeight="false" outlineLevel="0" collapsed="false">
      <c r="A63" s="4" t="n">
        <f aca="false">sisgi!A63</f>
        <v>10952</v>
      </c>
      <c r="B63" s="5" t="str">
        <f aca="false">IFERROR(IF(INDEX(cnpj!$B:$B,MATCH(A63,cnpj!$A:$A,0))="","",INDEX(cnpj!$B:$B,MATCH(A63,cnpj!$A:$A,0))),"")</f>
        <v>02.954.350/0001-12</v>
      </c>
      <c r="C63" s="5" t="str">
        <f aca="false">IF(B63="","",RIGHT("00000000000000"&amp;SUBSTITUTE(SUBSTITUTE(SUBSTITUTE(SUBSTITUTE(B63,".",""),"/",""),"-","")," ",""),14))</f>
        <v>02954350000112</v>
      </c>
      <c r="D63" s="5" t="str">
        <f aca="false">IF(C63="","",MID(C63,1,2)&amp;"."&amp;MID(C63,3,3)&amp;"."&amp;MID(C63,6,3)&amp;"/"&amp;MID(C63,9,4)&amp;"-"&amp;MID(C63,13,2))</f>
        <v>02.954.350/0001-12</v>
      </c>
      <c r="E63" s="4" t="str">
        <f aca="false">IF(ISNA(MATCH(A63,cnpj!$A:$A,0)),"Lotação não existe na aba cnpj",IF(B63="","Sem CNPJ na aba cnpj","OK"))</f>
        <v>OK</v>
      </c>
    </row>
    <row r="64" customFormat="false" ht="15" hidden="false" customHeight="false" outlineLevel="0" collapsed="false">
      <c r="A64" s="4" t="n">
        <f aca="false">sisgi!A64</f>
        <v>10960</v>
      </c>
      <c r="B64" s="5" t="str">
        <f aca="false">IFERROR(IF(INDEX(cnpj!$B:$B,MATCH(A64,cnpj!$A:$A,0))="","",INDEX(cnpj!$B:$B,MATCH(A64,cnpj!$A:$A,0))),"")</f>
        <v>01.644.508/0001-95</v>
      </c>
      <c r="C64" s="5" t="str">
        <f aca="false">IF(B64="","",RIGHT("00000000000000"&amp;SUBSTITUTE(SUBSTITUTE(SUBSTITUTE(SUBSTITUTE(B64,".",""),"/",""),"-","")," ",""),14))</f>
        <v>01644508000195</v>
      </c>
      <c r="D64" s="5" t="str">
        <f aca="false">IF(C64="","",MID(C64,1,2)&amp;"."&amp;MID(C64,3,3)&amp;"."&amp;MID(C64,6,3)&amp;"/"&amp;MID(C64,9,4)&amp;"-"&amp;MID(C64,13,2))</f>
        <v>01.644.508/0001-95</v>
      </c>
      <c r="E64" s="4" t="str">
        <f aca="false">IF(ISNA(MATCH(A64,cnpj!$A:$A,0)),"Lotação não existe na aba cnpj",IF(B64="","Sem CNPJ na aba cnpj","OK"))</f>
        <v>OK</v>
      </c>
    </row>
    <row r="65" customFormat="false" ht="15" hidden="false" customHeight="false" outlineLevel="0" collapsed="false">
      <c r="A65" s="4" t="n">
        <f aca="false">sisgi!A65</f>
        <v>10979</v>
      </c>
      <c r="B65" s="5" t="str">
        <f aca="false">IFERROR(IF(INDEX(cnpj!$B:$B,MATCH(A65,cnpj!$A:$A,0))="","",INDEX(cnpj!$B:$B,MATCH(A65,cnpj!$A:$A,0))),"")</f>
        <v>06.901.100/0001-75</v>
      </c>
      <c r="C65" s="5" t="str">
        <f aca="false">IF(B65="","",RIGHT("00000000000000"&amp;SUBSTITUTE(SUBSTITUTE(SUBSTITUTE(SUBSTITUTE(B65,".",""),"/",""),"-","")," ",""),14))</f>
        <v>06901100000175</v>
      </c>
      <c r="D65" s="5" t="str">
        <f aca="false">IF(C65="","",MID(C65,1,2)&amp;"."&amp;MID(C65,3,3)&amp;"."&amp;MID(C65,6,3)&amp;"/"&amp;MID(C65,9,4)&amp;"-"&amp;MID(C65,13,2))</f>
        <v>06.901.100/0001-75</v>
      </c>
      <c r="E65" s="4" t="str">
        <f aca="false">IF(ISNA(MATCH(A65,cnpj!$A:$A,0)),"Lotação não existe na aba cnpj",IF(B65="","Sem CNPJ na aba cnpj","OK"))</f>
        <v>OK</v>
      </c>
    </row>
    <row r="66" customFormat="false" ht="15" hidden="false" customHeight="false" outlineLevel="0" collapsed="false">
      <c r="A66" s="4" t="n">
        <f aca="false">sisgi!A66</f>
        <v>10995</v>
      </c>
      <c r="B66" s="5" t="str">
        <f aca="false">IFERROR(IF(INDEX(cnpj!$B:$B,MATCH(A66,cnpj!$A:$A,0))="","",INDEX(cnpj!$B:$B,MATCH(A66,cnpj!$A:$A,0))),"")</f>
        <v>02.697.439/0001-40</v>
      </c>
      <c r="C66" s="5" t="str">
        <f aca="false">IF(B66="","",RIGHT("00000000000000"&amp;SUBSTITUTE(SUBSTITUTE(SUBSTITUTE(SUBSTITUTE(B66,".",""),"/",""),"-","")," ",""),14))</f>
        <v>02697439000140</v>
      </c>
      <c r="D66" s="5" t="str">
        <f aca="false">IF(C66="","",MID(C66,1,2)&amp;"."&amp;MID(C66,3,3)&amp;"."&amp;MID(C66,6,3)&amp;"/"&amp;MID(C66,9,4)&amp;"-"&amp;MID(C66,13,2))</f>
        <v>02.697.439/0001-40</v>
      </c>
      <c r="E66" s="4" t="str">
        <f aca="false">IF(ISNA(MATCH(A66,cnpj!$A:$A,0)),"Lotação não existe na aba cnpj",IF(B66="","Sem CNPJ na aba cnpj","OK"))</f>
        <v>OK</v>
      </c>
    </row>
    <row r="67" customFormat="false" ht="15" hidden="false" customHeight="false" outlineLevel="0" collapsed="false">
      <c r="A67" s="4" t="n">
        <f aca="false">sisgi!A67</f>
        <v>11002</v>
      </c>
      <c r="B67" s="5" t="str">
        <f aca="false">IFERROR(IF(INDEX(cnpj!$B:$B,MATCH(A67,cnpj!$A:$A,0))="","",INDEX(cnpj!$B:$B,MATCH(A67,cnpj!$A:$A,0))),"")</f>
        <v>07.518.670/0001-43</v>
      </c>
      <c r="C67" s="5" t="str">
        <f aca="false">IF(B67="","",RIGHT("00000000000000"&amp;SUBSTITUTE(SUBSTITUTE(SUBSTITUTE(SUBSTITUTE(B67,".",""),"/",""),"-","")," ",""),14))</f>
        <v>07518670000143</v>
      </c>
      <c r="D67" s="5" t="str">
        <f aca="false">IF(C67="","",MID(C67,1,2)&amp;"."&amp;MID(C67,3,3)&amp;"."&amp;MID(C67,6,3)&amp;"/"&amp;MID(C67,9,4)&amp;"-"&amp;MID(C67,13,2))</f>
        <v>07.518.670/0001-43</v>
      </c>
      <c r="E67" s="4" t="str">
        <f aca="false">IF(ISNA(MATCH(A67,cnpj!$A:$A,0)),"Lotação não existe na aba cnpj",IF(B67="","Sem CNPJ na aba cnpj","OK"))</f>
        <v>OK</v>
      </c>
    </row>
    <row r="68" customFormat="false" ht="15" hidden="false" customHeight="false" outlineLevel="0" collapsed="false">
      <c r="A68" s="4" t="n">
        <f aca="false">sisgi!A68</f>
        <v>11010</v>
      </c>
      <c r="B68" s="5" t="str">
        <f aca="false">IFERROR(IF(INDEX(cnpj!$B:$B,MATCH(A68,cnpj!$A:$A,0))="","",INDEX(cnpj!$B:$B,MATCH(A68,cnpj!$A:$A,0))),"")</f>
        <v>01.366.137/0001-27</v>
      </c>
      <c r="C68" s="5" t="str">
        <f aca="false">IF(B68="","",RIGHT("00000000000000"&amp;SUBSTITUTE(SUBSTITUTE(SUBSTITUTE(SUBSTITUTE(B68,".",""),"/",""),"-","")," ",""),14))</f>
        <v>01366137000127</v>
      </c>
      <c r="D68" s="5" t="str">
        <f aca="false">IF(C68="","",MID(C68,1,2)&amp;"."&amp;MID(C68,3,3)&amp;"."&amp;MID(C68,6,3)&amp;"/"&amp;MID(C68,9,4)&amp;"-"&amp;MID(C68,13,2))</f>
        <v>01.366.137/0001-27</v>
      </c>
      <c r="E68" s="4" t="str">
        <f aca="false">IF(ISNA(MATCH(A68,cnpj!$A:$A,0)),"Lotação não existe na aba cnpj",IF(B68="","Sem CNPJ na aba cnpj","OK"))</f>
        <v>OK</v>
      </c>
    </row>
    <row r="69" customFormat="false" ht="15" hidden="false" customHeight="false" outlineLevel="0" collapsed="false">
      <c r="A69" s="4" t="n">
        <f aca="false">sisgi!A69</f>
        <v>11045</v>
      </c>
      <c r="B69" s="5" t="str">
        <f aca="false">IFERROR(IF(INDEX(cnpj!$B:$B,MATCH(A69,cnpj!$A:$A,0))="","",INDEX(cnpj!$B:$B,MATCH(A69,cnpj!$A:$A,0))),"")</f>
        <v>03.012.639/0001-85</v>
      </c>
      <c r="C69" s="5" t="str">
        <f aca="false">IF(B69="","",RIGHT("00000000000000"&amp;SUBSTITUTE(SUBSTITUTE(SUBSTITUTE(SUBSTITUTE(B69,".",""),"/",""),"-","")," ",""),14))</f>
        <v>03012639000185</v>
      </c>
      <c r="D69" s="5" t="str">
        <f aca="false">IF(C69="","",MID(C69,1,2)&amp;"."&amp;MID(C69,3,3)&amp;"."&amp;MID(C69,6,3)&amp;"/"&amp;MID(C69,9,4)&amp;"-"&amp;MID(C69,13,2))</f>
        <v>03.012.639/0001-85</v>
      </c>
      <c r="E69" s="4" t="str">
        <f aca="false">IF(ISNA(MATCH(A69,cnpj!$A:$A,0)),"Lotação não existe na aba cnpj",IF(B69="","Sem CNPJ na aba cnpj","OK"))</f>
        <v>OK</v>
      </c>
    </row>
    <row r="70" customFormat="false" ht="15" hidden="false" customHeight="false" outlineLevel="0" collapsed="false">
      <c r="A70" s="4" t="n">
        <f aca="false">sisgi!A70</f>
        <v>11061</v>
      </c>
      <c r="B70" s="5" t="str">
        <f aca="false">IFERROR(IF(INDEX(cnpj!$B:$B,MATCH(A70,cnpj!$A:$A,0))="","",INDEX(cnpj!$B:$B,MATCH(A70,cnpj!$A:$A,0))),"")</f>
        <v>03.113.863/0001-63</v>
      </c>
      <c r="C70" s="5" t="str">
        <f aca="false">IF(B70="","",RIGHT("00000000000000"&amp;SUBSTITUTE(SUBSTITUTE(SUBSTITUTE(SUBSTITUTE(B70,".",""),"/",""),"-","")," ",""),14))</f>
        <v>03113863000163</v>
      </c>
      <c r="D70" s="5" t="str">
        <f aca="false">IF(C70="","",MID(C70,1,2)&amp;"."&amp;MID(C70,3,3)&amp;"."&amp;MID(C70,6,3)&amp;"/"&amp;MID(C70,9,4)&amp;"-"&amp;MID(C70,13,2))</f>
        <v>03.113.863/0001-63</v>
      </c>
      <c r="E70" s="4" t="str">
        <f aca="false">IF(ISNA(MATCH(A70,cnpj!$A:$A,0)),"Lotação não existe na aba cnpj",IF(B70="","Sem CNPJ na aba cnpj","OK"))</f>
        <v>OK</v>
      </c>
    </row>
    <row r="71" customFormat="false" ht="15" hidden="false" customHeight="false" outlineLevel="0" collapsed="false">
      <c r="A71" s="4" t="n">
        <f aca="false">sisgi!A71</f>
        <v>11070</v>
      </c>
      <c r="B71" s="5" t="str">
        <f aca="false">IFERROR(IF(INDEX(cnpj!$B:$B,MATCH(A71,cnpj!$A:$A,0))="","",INDEX(cnpj!$B:$B,MATCH(A71,cnpj!$A:$A,0))),"")</f>
        <v>01.930.534/0001-80</v>
      </c>
      <c r="C71" s="5" t="str">
        <f aca="false">IF(B71="","",RIGHT("00000000000000"&amp;SUBSTITUTE(SUBSTITUTE(SUBSTITUTE(SUBSTITUTE(B71,".",""),"/",""),"-","")," ",""),14))</f>
        <v>01930534000180</v>
      </c>
      <c r="D71" s="5" t="str">
        <f aca="false">IF(C71="","",MID(C71,1,2)&amp;"."&amp;MID(C71,3,3)&amp;"."&amp;MID(C71,6,3)&amp;"/"&amp;MID(C71,9,4)&amp;"-"&amp;MID(C71,13,2))</f>
        <v>01.930.534/0001-80</v>
      </c>
      <c r="E71" s="4" t="str">
        <f aca="false">IF(ISNA(MATCH(A71,cnpj!$A:$A,0)),"Lotação não existe na aba cnpj",IF(B71="","Sem CNPJ na aba cnpj","OK"))</f>
        <v>OK</v>
      </c>
    </row>
    <row r="72" customFormat="false" ht="15" hidden="false" customHeight="false" outlineLevel="0" collapsed="false">
      <c r="A72" s="4" t="n">
        <f aca="false">sisgi!A72</f>
        <v>11118</v>
      </c>
      <c r="B72" s="5" t="str">
        <f aca="false">IFERROR(IF(INDEX(cnpj!$B:$B,MATCH(A72,cnpj!$A:$A,0))="","",INDEX(cnpj!$B:$B,MATCH(A72,cnpj!$A:$A,0))),"")</f>
        <v>01.609.237/0001-37</v>
      </c>
      <c r="C72" s="5" t="str">
        <f aca="false">IF(B72="","",RIGHT("00000000000000"&amp;SUBSTITUTE(SUBSTITUTE(SUBSTITUTE(SUBSTITUTE(B72,".",""),"/",""),"-","")," ",""),14))</f>
        <v>01609237000137</v>
      </c>
      <c r="D72" s="5" t="str">
        <f aca="false">IF(C72="","",MID(C72,1,2)&amp;"."&amp;MID(C72,3,3)&amp;"."&amp;MID(C72,6,3)&amp;"/"&amp;MID(C72,9,4)&amp;"-"&amp;MID(C72,13,2))</f>
        <v>01.609.237/0001-37</v>
      </c>
      <c r="E72" s="4" t="str">
        <f aca="false">IF(ISNA(MATCH(A72,cnpj!$A:$A,0)),"Lotação não existe na aba cnpj",IF(B72="","Sem CNPJ na aba cnpj","OK"))</f>
        <v>OK</v>
      </c>
    </row>
    <row r="73" customFormat="false" ht="15" hidden="false" customHeight="false" outlineLevel="0" collapsed="false">
      <c r="A73" s="4" t="n">
        <f aca="false">sisgi!A73</f>
        <v>11126</v>
      </c>
      <c r="B73" s="5" t="str">
        <f aca="false">IFERROR(IF(INDEX(cnpj!$B:$B,MATCH(A73,cnpj!$A:$A,0))="","",INDEX(cnpj!$B:$B,MATCH(A73,cnpj!$A:$A,0))),"")</f>
        <v>01.641.146/0001-89</v>
      </c>
      <c r="C73" s="5" t="str">
        <f aca="false">IF(B73="","",RIGHT("00000000000000"&amp;SUBSTITUTE(SUBSTITUTE(SUBSTITUTE(SUBSTITUTE(B73,".",""),"/",""),"-","")," ",""),14))</f>
        <v>01641146000189</v>
      </c>
      <c r="D73" s="5" t="str">
        <f aca="false">IF(C73="","",MID(C73,1,2)&amp;"."&amp;MID(C73,3,3)&amp;"."&amp;MID(C73,6,3)&amp;"/"&amp;MID(C73,9,4)&amp;"-"&amp;MID(C73,13,2))</f>
        <v>01.641.146/0001-89</v>
      </c>
      <c r="E73" s="4" t="str">
        <f aca="false">IF(ISNA(MATCH(A73,cnpj!$A:$A,0)),"Lotação não existe na aba cnpj",IF(B73="","Sem CNPJ na aba cnpj","OK"))</f>
        <v>OK</v>
      </c>
    </row>
    <row r="74" customFormat="false" ht="15" hidden="false" customHeight="false" outlineLevel="0" collapsed="false">
      <c r="A74" s="4" t="n">
        <f aca="false">sisgi!A74</f>
        <v>11134</v>
      </c>
      <c r="B74" s="5" t="str">
        <f aca="false">IFERROR(IF(INDEX(cnpj!$B:$B,MATCH(A74,cnpj!$A:$A,0))="","",INDEX(cnpj!$B:$B,MATCH(A74,cnpj!$A:$A,0))),"")</f>
        <v>07.891.083/0001-03</v>
      </c>
      <c r="C74" s="5" t="str">
        <f aca="false">IF(B74="","",RIGHT("00000000000000"&amp;SUBSTITUTE(SUBSTITUTE(SUBSTITUTE(SUBSTITUTE(B74,".",""),"/",""),"-","")," ",""),14))</f>
        <v>07891083000103</v>
      </c>
      <c r="D74" s="5" t="str">
        <f aca="false">IF(C74="","",MID(C74,1,2)&amp;"."&amp;MID(C74,3,3)&amp;"."&amp;MID(C74,6,3)&amp;"/"&amp;MID(C74,9,4)&amp;"-"&amp;MID(C74,13,2))</f>
        <v>07.891.083/0001-03</v>
      </c>
      <c r="E74" s="4" t="str">
        <f aca="false">IF(ISNA(MATCH(A74,cnpj!$A:$A,0)),"Lotação não existe na aba cnpj",IF(B74="","Sem CNPJ na aba cnpj","OK"))</f>
        <v>OK</v>
      </c>
    </row>
    <row r="75" customFormat="false" ht="15" hidden="false" customHeight="false" outlineLevel="0" collapsed="false">
      <c r="A75" s="4" t="n">
        <f aca="false">sisgi!A75</f>
        <v>11142</v>
      </c>
      <c r="B75" s="5" t="str">
        <f aca="false">IFERROR(IF(INDEX(cnpj!$B:$B,MATCH(A75,cnpj!$A:$A,0))="","",INDEX(cnpj!$B:$B,MATCH(A75,cnpj!$A:$A,0))),"")</f>
        <v>02.229.699/0001-91</v>
      </c>
      <c r="C75" s="5" t="str">
        <f aca="false">IF(B75="","",RIGHT("00000000000000"&amp;SUBSTITUTE(SUBSTITUTE(SUBSTITUTE(SUBSTITUTE(B75,".",""),"/",""),"-","")," ",""),14))</f>
        <v>02229699000191</v>
      </c>
      <c r="D75" s="5" t="str">
        <f aca="false">IF(C75="","",MID(C75,1,2)&amp;"."&amp;MID(C75,3,3)&amp;"."&amp;MID(C75,6,3)&amp;"/"&amp;MID(C75,9,4)&amp;"-"&amp;MID(C75,13,2))</f>
        <v>02.229.699/0001-91</v>
      </c>
      <c r="E75" s="4" t="str">
        <f aca="false">IF(ISNA(MATCH(A75,cnpj!$A:$A,0)),"Lotação não existe na aba cnpj",IF(B75="","Sem CNPJ na aba cnpj","OK"))</f>
        <v>OK</v>
      </c>
    </row>
    <row r="76" customFormat="false" ht="15" hidden="false" customHeight="false" outlineLevel="0" collapsed="false">
      <c r="A76" s="4" t="n">
        <f aca="false">sisgi!A76</f>
        <v>11185</v>
      </c>
      <c r="B76" s="5" t="str">
        <f aca="false">IFERROR(IF(INDEX(cnpj!$B:$B,MATCH(A76,cnpj!$A:$A,0))="","",INDEX(cnpj!$B:$B,MATCH(A76,cnpj!$A:$A,0))),"")</f>
        <v>01.665.130/0001-06</v>
      </c>
      <c r="C76" s="5" t="str">
        <f aca="false">IF(B76="","",RIGHT("00000000000000"&amp;SUBSTITUTE(SUBSTITUTE(SUBSTITUTE(SUBSTITUTE(B76,".",""),"/",""),"-","")," ",""),14))</f>
        <v>01665130000106</v>
      </c>
      <c r="D76" s="5" t="str">
        <f aca="false">IF(C76="","",MID(C76,1,2)&amp;"."&amp;MID(C76,3,3)&amp;"."&amp;MID(C76,6,3)&amp;"/"&amp;MID(C76,9,4)&amp;"-"&amp;MID(C76,13,2))</f>
        <v>01.665.130/0001-06</v>
      </c>
      <c r="E76" s="4" t="str">
        <f aca="false">IF(ISNA(MATCH(A76,cnpj!$A:$A,0)),"Lotação não existe na aba cnpj",IF(B76="","Sem CNPJ na aba cnpj","OK"))</f>
        <v>OK</v>
      </c>
    </row>
    <row r="77" customFormat="false" ht="15" hidden="false" customHeight="false" outlineLevel="0" collapsed="false">
      <c r="A77" s="4" t="n">
        <f aca="false">sisgi!A77</f>
        <v>11193</v>
      </c>
      <c r="B77" s="5" t="str">
        <f aca="false">IFERROR(IF(INDEX(cnpj!$B:$B,MATCH(A77,cnpj!$A:$A,0))="","",INDEX(cnpj!$B:$B,MATCH(A77,cnpj!$A:$A,0))),"")</f>
        <v>15.032.360/0001-42</v>
      </c>
      <c r="C77" s="5" t="str">
        <f aca="false">IF(B77="","",RIGHT("00000000000000"&amp;SUBSTITUTE(SUBSTITUTE(SUBSTITUTE(SUBSTITUTE(B77,".",""),"/",""),"-","")," ",""),14))</f>
        <v>15032360000142</v>
      </c>
      <c r="D77" s="5" t="str">
        <f aca="false">IF(C77="","",MID(C77,1,2)&amp;"."&amp;MID(C77,3,3)&amp;"."&amp;MID(C77,6,3)&amp;"/"&amp;MID(C77,9,4)&amp;"-"&amp;MID(C77,13,2))</f>
        <v>15.032.360/0001-42</v>
      </c>
      <c r="E77" s="4" t="str">
        <f aca="false">IF(ISNA(MATCH(A77,cnpj!$A:$A,0)),"Lotação não existe na aba cnpj",IF(B77="","Sem CNPJ na aba cnpj","OK"))</f>
        <v>OK</v>
      </c>
    </row>
    <row r="78" customFormat="false" ht="15" hidden="false" customHeight="false" outlineLevel="0" collapsed="false">
      <c r="A78" s="4" t="n">
        <f aca="false">sisgi!A78</f>
        <v>11207</v>
      </c>
      <c r="B78" s="5" t="str">
        <f aca="false">IFERROR(IF(INDEX(cnpj!$B:$B,MATCH(A78,cnpj!$A:$A,0))="","",INDEX(cnpj!$B:$B,MATCH(A78,cnpj!$A:$A,0))),"")</f>
        <v>02.572.438/0001-70</v>
      </c>
      <c r="C78" s="5" t="str">
        <f aca="false">IF(B78="","",RIGHT("00000000000000"&amp;SUBSTITUTE(SUBSTITUTE(SUBSTITUTE(SUBSTITUTE(B78,".",""),"/",""),"-","")," ",""),14))</f>
        <v>02572438000170</v>
      </c>
      <c r="D78" s="5" t="str">
        <f aca="false">IF(C78="","",MID(C78,1,2)&amp;"."&amp;MID(C78,3,3)&amp;"."&amp;MID(C78,6,3)&amp;"/"&amp;MID(C78,9,4)&amp;"-"&amp;MID(C78,13,2))</f>
        <v>02.572.438/0001-70</v>
      </c>
      <c r="E78" s="4" t="str">
        <f aca="false">IF(ISNA(MATCH(A78,cnpj!$A:$A,0)),"Lotação não existe na aba cnpj",IF(B78="","Sem CNPJ na aba cnpj","OK"))</f>
        <v>OK</v>
      </c>
    </row>
    <row r="79" customFormat="false" ht="15" hidden="false" customHeight="false" outlineLevel="0" collapsed="false">
      <c r="A79" s="4" t="n">
        <f aca="false">sisgi!A79</f>
        <v>11215</v>
      </c>
      <c r="B79" s="5" t="str">
        <f aca="false">IFERROR(IF(INDEX(cnpj!$B:$B,MATCH(A79,cnpj!$A:$A,0))="","",INDEX(cnpj!$B:$B,MATCH(A79,cnpj!$A:$A,0))),"")</f>
        <v>02.257.149/0001-86</v>
      </c>
      <c r="C79" s="5" t="str">
        <f aca="false">IF(B79="","",RIGHT("00000000000000"&amp;SUBSTITUTE(SUBSTITUTE(SUBSTITUTE(SUBSTITUTE(B79,".",""),"/",""),"-","")," ",""),14))</f>
        <v>02257149000186</v>
      </c>
      <c r="D79" s="5" t="str">
        <f aca="false">IF(C79="","",MID(C79,1,2)&amp;"."&amp;MID(C79,3,3)&amp;"."&amp;MID(C79,6,3)&amp;"/"&amp;MID(C79,9,4)&amp;"-"&amp;MID(C79,13,2))</f>
        <v>02.257.149/0001-86</v>
      </c>
      <c r="E79" s="4" t="str">
        <f aca="false">IF(ISNA(MATCH(A79,cnpj!$A:$A,0)),"Lotação não existe na aba cnpj",IF(B79="","Sem CNPJ na aba cnpj","OK"))</f>
        <v>OK</v>
      </c>
    </row>
    <row r="80" customFormat="false" ht="15" hidden="false" customHeight="false" outlineLevel="0" collapsed="false">
      <c r="A80" s="4" t="n">
        <f aca="false">sisgi!A80</f>
        <v>11231</v>
      </c>
      <c r="B80" s="5" t="str">
        <f aca="false">IFERROR(IF(INDEX(cnpj!$B:$B,MATCH(A80,cnpj!$A:$A,0))="","",INDEX(cnpj!$B:$B,MATCH(A80,cnpj!$A:$A,0))),"")</f>
        <v>03.105.167/0001-05</v>
      </c>
      <c r="C80" s="5" t="str">
        <f aca="false">IF(B80="","",RIGHT("00000000000000"&amp;SUBSTITUTE(SUBSTITUTE(SUBSTITUTE(SUBSTITUTE(B80,".",""),"/",""),"-","")," ",""),14))</f>
        <v>03105167000105</v>
      </c>
      <c r="D80" s="5" t="str">
        <f aca="false">IF(C80="","",MID(C80,1,2)&amp;"."&amp;MID(C80,3,3)&amp;"."&amp;MID(C80,6,3)&amp;"/"&amp;MID(C80,9,4)&amp;"-"&amp;MID(C80,13,2))</f>
        <v>03.105.167/0001-05</v>
      </c>
      <c r="E80" s="4" t="str">
        <f aca="false">IF(ISNA(MATCH(A80,cnpj!$A:$A,0)),"Lotação não existe na aba cnpj",IF(B80="","Sem CNPJ na aba cnpj","OK"))</f>
        <v>OK</v>
      </c>
    </row>
    <row r="81" customFormat="false" ht="15" hidden="false" customHeight="false" outlineLevel="0" collapsed="false">
      <c r="A81" s="4" t="n">
        <f aca="false">sisgi!A81</f>
        <v>11282</v>
      </c>
      <c r="B81" s="5" t="str">
        <f aca="false">IFERROR(IF(INDEX(cnpj!$B:$B,MATCH(A81,cnpj!$A:$A,0))="","",INDEX(cnpj!$B:$B,MATCH(A81,cnpj!$A:$A,0))),"")</f>
        <v>01.620.453/0001-83</v>
      </c>
      <c r="C81" s="5" t="str">
        <f aca="false">IF(B81="","",RIGHT("00000000000000"&amp;SUBSTITUTE(SUBSTITUTE(SUBSTITUTE(SUBSTITUTE(B81,".",""),"/",""),"-","")," ",""),14))</f>
        <v>01620453000183</v>
      </c>
      <c r="D81" s="5" t="str">
        <f aca="false">IF(C81="","",MID(C81,1,2)&amp;"."&amp;MID(C81,3,3)&amp;"."&amp;MID(C81,6,3)&amp;"/"&amp;MID(C81,9,4)&amp;"-"&amp;MID(C81,13,2))</f>
        <v>01.620.453/0001-83</v>
      </c>
      <c r="E81" s="4" t="str">
        <f aca="false">IF(ISNA(MATCH(A81,cnpj!$A:$A,0)),"Lotação não existe na aba cnpj",IF(B81="","Sem CNPJ na aba cnpj","OK"))</f>
        <v>OK</v>
      </c>
    </row>
    <row r="82" customFormat="false" ht="15" hidden="false" customHeight="false" outlineLevel="0" collapsed="false">
      <c r="A82" s="4" t="n">
        <f aca="false">sisgi!A82</f>
        <v>11290</v>
      </c>
      <c r="B82" s="5" t="str">
        <f aca="false">IFERROR(IF(INDEX(cnpj!$B:$B,MATCH(A82,cnpj!$A:$A,0))="","",INDEX(cnpj!$B:$B,MATCH(A82,cnpj!$A:$A,0))),"")</f>
        <v>01.617.464/0001-04</v>
      </c>
      <c r="C82" s="5" t="str">
        <f aca="false">IF(B82="","",RIGHT("00000000000000"&amp;SUBSTITUTE(SUBSTITUTE(SUBSTITUTE(SUBSTITUTE(B82,".",""),"/",""),"-","")," ",""),14))</f>
        <v>01617464000104</v>
      </c>
      <c r="D82" s="5" t="str">
        <f aca="false">IF(C82="","",MID(C82,1,2)&amp;"."&amp;MID(C82,3,3)&amp;"."&amp;MID(C82,6,3)&amp;"/"&amp;MID(C82,9,4)&amp;"-"&amp;MID(C82,13,2))</f>
        <v>01.617.464/0001-04</v>
      </c>
      <c r="E82" s="4" t="str">
        <f aca="false">IF(ISNA(MATCH(A82,cnpj!$A:$A,0)),"Lotação não existe na aba cnpj",IF(B82="","Sem CNPJ na aba cnpj","OK"))</f>
        <v>OK</v>
      </c>
    </row>
    <row r="83" customFormat="false" ht="15" hidden="false" customHeight="false" outlineLevel="0" collapsed="false">
      <c r="A83" s="4" t="n">
        <f aca="false">sisgi!A83</f>
        <v>11339</v>
      </c>
      <c r="B83" s="5" t="str">
        <f aca="false">IFERROR(IF(INDEX(cnpj!$B:$B,MATCH(A83,cnpj!$A:$A,0))="","",INDEX(cnpj!$B:$B,MATCH(A83,cnpj!$A:$A,0))),"")</f>
        <v>01.685.264/0001-99</v>
      </c>
      <c r="C83" s="5" t="str">
        <f aca="false">IF(B83="","",RIGHT("00000000000000"&amp;SUBSTITUTE(SUBSTITUTE(SUBSTITUTE(SUBSTITUTE(B83,".",""),"/",""),"-","")," ",""),14))</f>
        <v>01685264000199</v>
      </c>
      <c r="D83" s="5" t="str">
        <f aca="false">IF(C83="","",MID(C83,1,2)&amp;"."&amp;MID(C83,3,3)&amp;"."&amp;MID(C83,6,3)&amp;"/"&amp;MID(C83,9,4)&amp;"-"&amp;MID(C83,13,2))</f>
        <v>01.685.264/0001-99</v>
      </c>
      <c r="E83" s="4" t="str">
        <f aca="false">IF(ISNA(MATCH(A83,cnpj!$A:$A,0)),"Lotação não existe na aba cnpj",IF(B83="","Sem CNPJ na aba cnpj","OK"))</f>
        <v>OK</v>
      </c>
    </row>
    <row r="84" customFormat="false" ht="15" hidden="false" customHeight="false" outlineLevel="0" collapsed="false">
      <c r="A84" s="4" t="n">
        <f aca="false">sisgi!A84</f>
        <v>11355</v>
      </c>
      <c r="B84" s="5" t="str">
        <f aca="false">IFERROR(IF(INDEX(cnpj!$B:$B,MATCH(A84,cnpj!$A:$A,0))="","",INDEX(cnpj!$B:$B,MATCH(A84,cnpj!$A:$A,0))),"")</f>
        <v>02.473.763/0001-85</v>
      </c>
      <c r="C84" s="5" t="str">
        <f aca="false">IF(B84="","",RIGHT("00000000000000"&amp;SUBSTITUTE(SUBSTITUTE(SUBSTITUTE(SUBSTITUTE(B84,".",""),"/",""),"-","")," ",""),14))</f>
        <v>02473763000185</v>
      </c>
      <c r="D84" s="5" t="str">
        <f aca="false">IF(C84="","",MID(C84,1,2)&amp;"."&amp;MID(C84,3,3)&amp;"."&amp;MID(C84,6,3)&amp;"/"&amp;MID(C84,9,4)&amp;"-"&amp;MID(C84,13,2))</f>
        <v>02.473.763/0001-85</v>
      </c>
      <c r="E84" s="4" t="str">
        <f aca="false">IF(ISNA(MATCH(A84,cnpj!$A:$A,0)),"Lotação não existe na aba cnpj",IF(B84="","Sem CNPJ na aba cnpj","OK"))</f>
        <v>OK</v>
      </c>
    </row>
    <row r="85" customFormat="false" ht="15" hidden="false" customHeight="false" outlineLevel="0" collapsed="false">
      <c r="A85" s="4" t="n">
        <f aca="false">sisgi!A85</f>
        <v>11363</v>
      </c>
      <c r="B85" s="5" t="str">
        <f aca="false">IFERROR(IF(INDEX(cnpj!$B:$B,MATCH(A85,cnpj!$A:$A,0))="","",INDEX(cnpj!$B:$B,MATCH(A85,cnpj!$A:$A,0))),"")</f>
        <v>02.328.823/0001-76</v>
      </c>
      <c r="C85" s="5" t="str">
        <f aca="false">IF(B85="","",RIGHT("00000000000000"&amp;SUBSTITUTE(SUBSTITUTE(SUBSTITUTE(SUBSTITUTE(B85,".",""),"/",""),"-","")," ",""),14))</f>
        <v>02328823000176</v>
      </c>
      <c r="D85" s="5" t="str">
        <f aca="false">IF(C85="","",MID(C85,1,2)&amp;"."&amp;MID(C85,3,3)&amp;"."&amp;MID(C85,6,3)&amp;"/"&amp;MID(C85,9,4)&amp;"-"&amp;MID(C85,13,2))</f>
        <v>02.328.823/0001-76</v>
      </c>
      <c r="E85" s="4" t="str">
        <f aca="false">IF(ISNA(MATCH(A85,cnpj!$A:$A,0)),"Lotação não existe na aba cnpj",IF(B85="","Sem CNPJ na aba cnpj","OK"))</f>
        <v>OK</v>
      </c>
    </row>
    <row r="86" customFormat="false" ht="15" hidden="false" customHeight="false" outlineLevel="0" collapsed="false">
      <c r="A86" s="4" t="n">
        <f aca="false">sisgi!A86</f>
        <v>11371</v>
      </c>
      <c r="B86" s="5" t="str">
        <f aca="false">IFERROR(IF(INDEX(cnpj!$B:$B,MATCH(A86,cnpj!$A:$A,0))="","",INDEX(cnpj!$B:$B,MATCH(A86,cnpj!$A:$A,0))),"")</f>
        <v>02.030.071/0001-62</v>
      </c>
      <c r="C86" s="5" t="str">
        <f aca="false">IF(B86="","",RIGHT("00000000000000"&amp;SUBSTITUTE(SUBSTITUTE(SUBSTITUTE(SUBSTITUTE(B86,".",""),"/",""),"-","")," ",""),14))</f>
        <v>02030071000162</v>
      </c>
      <c r="D86" s="5" t="str">
        <f aca="false">IF(C86="","",MID(C86,1,2)&amp;"."&amp;MID(C86,3,3)&amp;"."&amp;MID(C86,6,3)&amp;"/"&amp;MID(C86,9,4)&amp;"-"&amp;MID(C86,13,2))</f>
        <v>02.030.071/0001-62</v>
      </c>
      <c r="E86" s="4" t="str">
        <f aca="false">IF(ISNA(MATCH(A86,cnpj!$A:$A,0)),"Lotação não existe na aba cnpj",IF(B86="","Sem CNPJ na aba cnpj","OK"))</f>
        <v>OK</v>
      </c>
    </row>
    <row r="87" customFormat="false" ht="15" hidden="false" customHeight="false" outlineLevel="0" collapsed="false">
      <c r="A87" s="4" t="n">
        <f aca="false">sisgi!A87</f>
        <v>11410</v>
      </c>
      <c r="B87" s="5" t="str">
        <f aca="false">IFERROR(IF(INDEX(cnpj!$B:$B,MATCH(A87,cnpj!$A:$A,0))="","",INDEX(cnpj!$B:$B,MATCH(A87,cnpj!$A:$A,0))),"")</f>
        <v>02.030.069/0001-93</v>
      </c>
      <c r="C87" s="5" t="str">
        <f aca="false">IF(B87="","",RIGHT("00000000000000"&amp;SUBSTITUTE(SUBSTITUTE(SUBSTITUTE(SUBSTITUTE(B87,".",""),"/",""),"-","")," ",""),14))</f>
        <v>02030069000193</v>
      </c>
      <c r="D87" s="5" t="str">
        <f aca="false">IF(C87="","",MID(C87,1,2)&amp;"."&amp;MID(C87,3,3)&amp;"."&amp;MID(C87,6,3)&amp;"/"&amp;MID(C87,9,4)&amp;"-"&amp;MID(C87,13,2))</f>
        <v>02.030.069/0001-93</v>
      </c>
      <c r="E87" s="4" t="str">
        <f aca="false">IF(ISNA(MATCH(A87,cnpj!$A:$A,0)),"Lotação não existe na aba cnpj",IF(B87="","Sem CNPJ na aba cnpj","OK"))</f>
        <v>OK</v>
      </c>
    </row>
    <row r="88" customFormat="false" ht="15" hidden="false" customHeight="false" outlineLevel="0" collapsed="false">
      <c r="A88" s="4" t="n">
        <f aca="false">sisgi!A88</f>
        <v>11452</v>
      </c>
      <c r="B88" s="5" t="str">
        <f aca="false">IFERROR(IF(INDEX(cnpj!$B:$B,MATCH(A88,cnpj!$A:$A,0))="","",INDEX(cnpj!$B:$B,MATCH(A88,cnpj!$A:$A,0))),"")</f>
        <v>01.609.157/0001-81</v>
      </c>
      <c r="C88" s="5" t="str">
        <f aca="false">IF(B88="","",RIGHT("00000000000000"&amp;SUBSTITUTE(SUBSTITUTE(SUBSTITUTE(SUBSTITUTE(B88,".",""),"/",""),"-","")," ",""),14))</f>
        <v>01609157000181</v>
      </c>
      <c r="D88" s="5" t="str">
        <f aca="false">IF(C88="","",MID(C88,1,2)&amp;"."&amp;MID(C88,3,3)&amp;"."&amp;MID(C88,6,3)&amp;"/"&amp;MID(C88,9,4)&amp;"-"&amp;MID(C88,13,2))</f>
        <v>01.609.157/0001-81</v>
      </c>
      <c r="E88" s="4" t="str">
        <f aca="false">IF(ISNA(MATCH(A88,cnpj!$A:$A,0)),"Lotação não existe na aba cnpj",IF(B88="","Sem CNPJ na aba cnpj","OK"))</f>
        <v>OK</v>
      </c>
    </row>
    <row r="89" customFormat="false" ht="15" hidden="false" customHeight="false" outlineLevel="0" collapsed="false">
      <c r="A89" s="4" t="n">
        <f aca="false">sisgi!A89</f>
        <v>11479</v>
      </c>
      <c r="B89" s="5" t="str">
        <f aca="false">IFERROR(IF(INDEX(cnpj!$B:$B,MATCH(A89,cnpj!$A:$A,0))="","",INDEX(cnpj!$B:$B,MATCH(A89,cnpj!$A:$A,0))),"")</f>
        <v>01.568.151/0001-03</v>
      </c>
      <c r="C89" s="5" t="str">
        <f aca="false">IF(B89="","",RIGHT("00000000000000"&amp;SUBSTITUTE(SUBSTITUTE(SUBSTITUTE(SUBSTITUTE(B89,".",""),"/",""),"-","")," ",""),14))</f>
        <v>01568151000103</v>
      </c>
      <c r="D89" s="5" t="str">
        <f aca="false">IF(C89="","",MID(C89,1,2)&amp;"."&amp;MID(C89,3,3)&amp;"."&amp;MID(C89,6,3)&amp;"/"&amp;MID(C89,9,4)&amp;"-"&amp;MID(C89,13,2))</f>
        <v>01.568.151/0001-03</v>
      </c>
      <c r="E89" s="4" t="str">
        <f aca="false">IF(ISNA(MATCH(A89,cnpj!$A:$A,0)),"Lotação não existe na aba cnpj",IF(B89="","Sem CNPJ na aba cnpj","OK"))</f>
        <v>OK</v>
      </c>
    </row>
    <row r="90" customFormat="false" ht="15" hidden="false" customHeight="false" outlineLevel="0" collapsed="false">
      <c r="A90" s="4" t="n">
        <f aca="false">sisgi!A90</f>
        <v>11487</v>
      </c>
      <c r="B90" s="5" t="str">
        <f aca="false">IFERROR(IF(INDEX(cnpj!$B:$B,MATCH(A90,cnpj!$A:$A,0))="","",INDEX(cnpj!$B:$B,MATCH(A90,cnpj!$A:$A,0))),"")</f>
        <v>02.981.095/0001-05</v>
      </c>
      <c r="C90" s="5" t="str">
        <f aca="false">IF(B90="","",RIGHT("00000000000000"&amp;SUBSTITUTE(SUBSTITUTE(SUBSTITUTE(SUBSTITUTE(B90,".",""),"/",""),"-","")," ",""),14))</f>
        <v>02981095000105</v>
      </c>
      <c r="D90" s="5" t="str">
        <f aca="false">IF(C90="","",MID(C90,1,2)&amp;"."&amp;MID(C90,3,3)&amp;"."&amp;MID(C90,6,3)&amp;"/"&amp;MID(C90,9,4)&amp;"-"&amp;MID(C90,13,2))</f>
        <v>02.981.095/0001-05</v>
      </c>
      <c r="E90" s="4" t="str">
        <f aca="false">IF(ISNA(MATCH(A90,cnpj!$A:$A,0)),"Lotação não existe na aba cnpj",IF(B90="","Sem CNPJ na aba cnpj","OK"))</f>
        <v>OK</v>
      </c>
    </row>
    <row r="91" customFormat="false" ht="15" hidden="false" customHeight="false" outlineLevel="0" collapsed="false">
      <c r="A91" s="4" t="n">
        <f aca="false">sisgi!A91</f>
        <v>11495</v>
      </c>
      <c r="B91" s="5" t="str">
        <f aca="false">IFERROR(IF(INDEX(cnpj!$B:$B,MATCH(A91,cnpj!$A:$A,0))="","",INDEX(cnpj!$B:$B,MATCH(A91,cnpj!$A:$A,0))),"")</f>
        <v>01.556.351/0001-46</v>
      </c>
      <c r="C91" s="5" t="str">
        <f aca="false">IF(B91="","",RIGHT("00000000000000"&amp;SUBSTITUTE(SUBSTITUTE(SUBSTITUTE(SUBSTITUTE(B91,".",""),"/",""),"-","")," ",""),14))</f>
        <v>01556351000146</v>
      </c>
      <c r="D91" s="5" t="str">
        <f aca="false">IF(C91="","",MID(C91,1,2)&amp;"."&amp;MID(C91,3,3)&amp;"."&amp;MID(C91,6,3)&amp;"/"&amp;MID(C91,9,4)&amp;"-"&amp;MID(C91,13,2))</f>
        <v>01.556.351/0001-46</v>
      </c>
      <c r="E91" s="4" t="str">
        <f aca="false">IF(ISNA(MATCH(A91,cnpj!$A:$A,0)),"Lotação não existe na aba cnpj",IF(B91="","Sem CNPJ na aba cnpj","OK"))</f>
        <v>OK</v>
      </c>
    </row>
    <row r="92" customFormat="false" ht="15" hidden="false" customHeight="false" outlineLevel="0" collapsed="false">
      <c r="A92" s="4" t="n">
        <f aca="false">sisgi!A92</f>
        <v>11509</v>
      </c>
      <c r="B92" s="5" t="str">
        <f aca="false">IFERROR(IF(INDEX(cnpj!$B:$B,MATCH(A92,cnpj!$A:$A,0))="","",INDEX(cnpj!$B:$B,MATCH(A92,cnpj!$A:$A,0))),"")</f>
        <v>01.986.533/0001-57</v>
      </c>
      <c r="C92" s="5" t="str">
        <f aca="false">IF(B92="","",RIGHT("00000000000000"&amp;SUBSTITUTE(SUBSTITUTE(SUBSTITUTE(SUBSTITUTE(B92,".",""),"/",""),"-","")," ",""),14))</f>
        <v>01986533000157</v>
      </c>
      <c r="D92" s="5" t="str">
        <f aca="false">IF(C92="","",MID(C92,1,2)&amp;"."&amp;MID(C92,3,3)&amp;"."&amp;MID(C92,6,3)&amp;"/"&amp;MID(C92,9,4)&amp;"-"&amp;MID(C92,13,2))</f>
        <v>01.986.533/0001-57</v>
      </c>
      <c r="E92" s="4" t="str">
        <f aca="false">IF(ISNA(MATCH(A92,cnpj!$A:$A,0)),"Lotação não existe na aba cnpj",IF(B92="","Sem CNPJ na aba cnpj","OK"))</f>
        <v>OK</v>
      </c>
    </row>
    <row r="93" customFormat="false" ht="15" hidden="false" customHeight="false" outlineLevel="0" collapsed="false">
      <c r="A93" s="4" t="n">
        <f aca="false">sisgi!A93</f>
        <v>11517</v>
      </c>
      <c r="B93" s="5" t="str">
        <f aca="false">IFERROR(IF(INDEX(cnpj!$B:$B,MATCH(A93,cnpj!$A:$A,0))="","",INDEX(cnpj!$B:$B,MATCH(A93,cnpj!$A:$A,0))),"")</f>
        <v>14.951.016/0001-94</v>
      </c>
      <c r="C93" s="5" t="str">
        <f aca="false">IF(B93="","",RIGHT("00000000000000"&amp;SUBSTITUTE(SUBSTITUTE(SUBSTITUTE(SUBSTITUTE(B93,".",""),"/",""),"-","")," ",""),14))</f>
        <v>14951016000194</v>
      </c>
      <c r="D93" s="5" t="str">
        <f aca="false">IF(C93="","",MID(C93,1,2)&amp;"."&amp;MID(C93,3,3)&amp;"."&amp;MID(C93,6,3)&amp;"/"&amp;MID(C93,9,4)&amp;"-"&amp;MID(C93,13,2))</f>
        <v>14.951.016/0001-94</v>
      </c>
      <c r="E93" s="4" t="str">
        <f aca="false">IF(ISNA(MATCH(A93,cnpj!$A:$A,0)),"Lotação não existe na aba cnpj",IF(B93="","Sem CNPJ na aba cnpj","OK"))</f>
        <v>OK</v>
      </c>
    </row>
    <row r="94" customFormat="false" ht="15" hidden="false" customHeight="false" outlineLevel="0" collapsed="false">
      <c r="A94" s="4" t="n">
        <f aca="false">sisgi!A94</f>
        <v>11533</v>
      </c>
      <c r="B94" s="5" t="str">
        <f aca="false">IFERROR(IF(INDEX(cnpj!$B:$B,MATCH(A94,cnpj!$A:$A,0))="","",INDEX(cnpj!$B:$B,MATCH(A94,cnpj!$A:$A,0))),"")</f>
        <v>01.590.243/0001-90</v>
      </c>
      <c r="C94" s="5" t="str">
        <f aca="false">IF(B94="","",RIGHT("00000000000000"&amp;SUBSTITUTE(SUBSTITUTE(SUBSTITUTE(SUBSTITUTE(B94,".",""),"/",""),"-","")," ",""),14))</f>
        <v>01590243000190</v>
      </c>
      <c r="D94" s="5" t="str">
        <f aca="false">IF(C94="","",MID(C94,1,2)&amp;"."&amp;MID(C94,3,3)&amp;"."&amp;MID(C94,6,3)&amp;"/"&amp;MID(C94,9,4)&amp;"-"&amp;MID(C94,13,2))</f>
        <v>01.590.243/0001-90</v>
      </c>
      <c r="E94" s="4" t="str">
        <f aca="false">IF(ISNA(MATCH(A94,cnpj!$A:$A,0)),"Lotação não existe na aba cnpj",IF(B94="","Sem CNPJ na aba cnpj","OK"))</f>
        <v>OK</v>
      </c>
    </row>
    <row r="95" customFormat="false" ht="15" hidden="false" customHeight="false" outlineLevel="0" collapsed="false">
      <c r="A95" s="4" t="n">
        <f aca="false">sisgi!A95</f>
        <v>11550</v>
      </c>
      <c r="B95" s="5" t="str">
        <f aca="false">IFERROR(IF(INDEX(cnpj!$B:$B,MATCH(A95,cnpj!$A:$A,0))="","",INDEX(cnpj!$B:$B,MATCH(A95,cnpj!$A:$A,0))),"")</f>
        <v>02.382.394/0001-15</v>
      </c>
      <c r="C95" s="5" t="str">
        <f aca="false">IF(B95="","",RIGHT("00000000000000"&amp;SUBSTITUTE(SUBSTITUTE(SUBSTITUTE(SUBSTITUTE(B95,".",""),"/",""),"-","")," ",""),14))</f>
        <v>02382394000115</v>
      </c>
      <c r="D95" s="5" t="str">
        <f aca="false">IF(C95="","",MID(C95,1,2)&amp;"."&amp;MID(C95,3,3)&amp;"."&amp;MID(C95,6,3)&amp;"/"&amp;MID(C95,9,4)&amp;"-"&amp;MID(C95,13,2))</f>
        <v>02.382.394/0001-15</v>
      </c>
      <c r="E95" s="4" t="str">
        <f aca="false">IF(ISNA(MATCH(A95,cnpj!$A:$A,0)),"Lotação não existe na aba cnpj",IF(B95="","Sem CNPJ na aba cnpj","OK"))</f>
        <v>OK</v>
      </c>
    </row>
    <row r="96" customFormat="false" ht="15" hidden="false" customHeight="false" outlineLevel="0" collapsed="false">
      <c r="A96" s="4" t="n">
        <f aca="false">sisgi!A96</f>
        <v>11568</v>
      </c>
      <c r="B96" s="5" t="str">
        <f aca="false">IFERROR(IF(INDEX(cnpj!$B:$B,MATCH(A96,cnpj!$A:$A,0))="","",INDEX(cnpj!$B:$B,MATCH(A96,cnpj!$A:$A,0))),"")</f>
        <v>04.539.373/0001-96</v>
      </c>
      <c r="C96" s="5" t="str">
        <f aca="false">IF(B96="","",RIGHT("00000000000000"&amp;SUBSTITUTE(SUBSTITUTE(SUBSTITUTE(SUBSTITUTE(B96,".",""),"/",""),"-","")," ",""),14))</f>
        <v>04539373000196</v>
      </c>
      <c r="D96" s="5" t="str">
        <f aca="false">IF(C96="","",MID(C96,1,2)&amp;"."&amp;MID(C96,3,3)&amp;"."&amp;MID(C96,6,3)&amp;"/"&amp;MID(C96,9,4)&amp;"-"&amp;MID(C96,13,2))</f>
        <v>04.539.373/0001-96</v>
      </c>
      <c r="E96" s="4" t="str">
        <f aca="false">IF(ISNA(MATCH(A96,cnpj!$A:$A,0)),"Lotação não existe na aba cnpj",IF(B96="","Sem CNPJ na aba cnpj","OK"))</f>
        <v>OK</v>
      </c>
    </row>
    <row r="97" customFormat="false" ht="15" hidden="false" customHeight="false" outlineLevel="0" collapsed="false">
      <c r="A97" s="4" t="n">
        <f aca="false">sisgi!A97</f>
        <v>11576</v>
      </c>
      <c r="B97" s="5" t="str">
        <f aca="false">IFERROR(IF(INDEX(cnpj!$B:$B,MATCH(A97,cnpj!$A:$A,0))="","",INDEX(cnpj!$B:$B,MATCH(A97,cnpj!$A:$A,0))),"")</f>
        <v>03.799.363/0001-27</v>
      </c>
      <c r="C97" s="5" t="str">
        <f aca="false">IF(B97="","",RIGHT("00000000000000"&amp;SUBSTITUTE(SUBSTITUTE(SUBSTITUTE(SUBSTITUTE(B97,".",""),"/",""),"-","")," ",""),14))</f>
        <v>03799363000127</v>
      </c>
      <c r="D97" s="5" t="str">
        <f aca="false">IF(C97="","",MID(C97,1,2)&amp;"."&amp;MID(C97,3,3)&amp;"."&amp;MID(C97,6,3)&amp;"/"&amp;MID(C97,9,4)&amp;"-"&amp;MID(C97,13,2))</f>
        <v>03.799.363/0001-27</v>
      </c>
      <c r="E97" s="4" t="str">
        <f aca="false">IF(ISNA(MATCH(A97,cnpj!$A:$A,0)),"Lotação não existe na aba cnpj",IF(B97="","Sem CNPJ na aba cnpj","OK"))</f>
        <v>OK</v>
      </c>
    </row>
    <row r="98" customFormat="false" ht="15" hidden="false" customHeight="false" outlineLevel="0" collapsed="false">
      <c r="A98" s="4" t="n">
        <f aca="false">sisgi!A98</f>
        <v>11606</v>
      </c>
      <c r="B98" s="5" t="str">
        <f aca="false">IFERROR(IF(INDEX(cnpj!$B:$B,MATCH(A98,cnpj!$A:$A,0))="","",INDEX(cnpj!$B:$B,MATCH(A98,cnpj!$A:$A,0))),"")</f>
        <v>01.956.030/0001-39</v>
      </c>
      <c r="C98" s="5" t="str">
        <f aca="false">IF(B98="","",RIGHT("00000000000000"&amp;SUBSTITUTE(SUBSTITUTE(SUBSTITUTE(SUBSTITUTE(B98,".",""),"/",""),"-","")," ",""),14))</f>
        <v>01956030000139</v>
      </c>
      <c r="D98" s="5" t="str">
        <f aca="false">IF(C98="","",MID(C98,1,2)&amp;"."&amp;MID(C98,3,3)&amp;"."&amp;MID(C98,6,3)&amp;"/"&amp;MID(C98,9,4)&amp;"-"&amp;MID(C98,13,2))</f>
        <v>01.956.030/0001-39</v>
      </c>
      <c r="E98" s="4" t="str">
        <f aca="false">IF(ISNA(MATCH(A98,cnpj!$A:$A,0)),"Lotação não existe na aba cnpj",IF(B98="","Sem CNPJ na aba cnpj","OK"))</f>
        <v>OK</v>
      </c>
    </row>
    <row r="99" customFormat="false" ht="15" hidden="false" customHeight="false" outlineLevel="0" collapsed="false">
      <c r="A99" s="4" t="n">
        <f aca="false">sisgi!A99</f>
        <v>11614</v>
      </c>
      <c r="B99" s="5" t="str">
        <f aca="false">IFERROR(IF(INDEX(cnpj!$B:$B,MATCH(A99,cnpj!$A:$A,0))="","",INDEX(cnpj!$B:$B,MATCH(A99,cnpj!$A:$A,0))),"")</f>
        <v>01.956.024/0001-81</v>
      </c>
      <c r="C99" s="5" t="str">
        <f aca="false">IF(B99="","",RIGHT("00000000000000"&amp;SUBSTITUTE(SUBSTITUTE(SUBSTITUTE(SUBSTITUTE(B99,".",""),"/",""),"-","")," ",""),14))</f>
        <v>01956024000181</v>
      </c>
      <c r="D99" s="5" t="str">
        <f aca="false">IF(C99="","",MID(C99,1,2)&amp;"."&amp;MID(C99,3,3)&amp;"."&amp;MID(C99,6,3)&amp;"/"&amp;MID(C99,9,4)&amp;"-"&amp;MID(C99,13,2))</f>
        <v>01.956.024/0001-81</v>
      </c>
      <c r="E99" s="4" t="str">
        <f aca="false">IF(ISNA(MATCH(A99,cnpj!$A:$A,0)),"Lotação não existe na aba cnpj",IF(B99="","Sem CNPJ na aba cnpj","OK"))</f>
        <v>OK</v>
      </c>
    </row>
    <row r="100" customFormat="false" ht="15" hidden="false" customHeight="false" outlineLevel="0" collapsed="false">
      <c r="A100" s="4" t="n">
        <f aca="false">sisgi!A100</f>
        <v>11630</v>
      </c>
      <c r="B100" s="5" t="str">
        <f aca="false">IFERROR(IF(INDEX(cnpj!$B:$B,MATCH(A100,cnpj!$A:$A,0))="","",INDEX(cnpj!$B:$B,MATCH(A100,cnpj!$A:$A,0))),"")</f>
        <v>01.981.949/0001-82</v>
      </c>
      <c r="C100" s="5" t="str">
        <f aca="false">IF(B100="","",RIGHT("00000000000000"&amp;SUBSTITUTE(SUBSTITUTE(SUBSTITUTE(SUBSTITUTE(B100,".",""),"/",""),"-","")," ",""),14))</f>
        <v>01981949000182</v>
      </c>
      <c r="D100" s="5" t="str">
        <f aca="false">IF(C100="","",MID(C100,1,2)&amp;"."&amp;MID(C100,3,3)&amp;"."&amp;MID(C100,6,3)&amp;"/"&amp;MID(C100,9,4)&amp;"-"&amp;MID(C100,13,2))</f>
        <v>01.981.949/0001-82</v>
      </c>
      <c r="E100" s="4" t="str">
        <f aca="false">IF(ISNA(MATCH(A100,cnpj!$A:$A,0)),"Lotação não existe na aba cnpj",IF(B100="","Sem CNPJ na aba cnpj","OK"))</f>
        <v>OK</v>
      </c>
    </row>
    <row r="101" customFormat="false" ht="15" hidden="false" customHeight="false" outlineLevel="0" collapsed="false">
      <c r="A101" s="4" t="n">
        <f aca="false">sisgi!A101</f>
        <v>11657</v>
      </c>
      <c r="B101" s="5" t="str">
        <f aca="false">IFERROR(IF(INDEX(cnpj!$B:$B,MATCH(A101,cnpj!$A:$A,0))="","",INDEX(cnpj!$B:$B,MATCH(A101,cnpj!$A:$A,0))),"")</f>
        <v>02.123.902/0001-40</v>
      </c>
      <c r="C101" s="5" t="str">
        <f aca="false">IF(B101="","",RIGHT("00000000000000"&amp;SUBSTITUTE(SUBSTITUTE(SUBSTITUTE(SUBSTITUTE(B101,".",""),"/",""),"-","")," ",""),14))</f>
        <v>02123902000140</v>
      </c>
      <c r="D101" s="5" t="str">
        <f aca="false">IF(C101="","",MID(C101,1,2)&amp;"."&amp;MID(C101,3,3)&amp;"."&amp;MID(C101,6,3)&amp;"/"&amp;MID(C101,9,4)&amp;"-"&amp;MID(C101,13,2))</f>
        <v>02.123.902/0001-40</v>
      </c>
      <c r="E101" s="4" t="str">
        <f aca="false">IF(ISNA(MATCH(A101,cnpj!$A:$A,0)),"Lotação não existe na aba cnpj",IF(B101="","Sem CNPJ na aba cnpj","OK"))</f>
        <v>OK</v>
      </c>
    </row>
    <row r="102" customFormat="false" ht="15" hidden="false" customHeight="false" outlineLevel="0" collapsed="false">
      <c r="A102" s="4" t="n">
        <f aca="false">sisgi!A102</f>
        <v>11690</v>
      </c>
      <c r="B102" s="5" t="str">
        <f aca="false">IFERROR(IF(INDEX(cnpj!$B:$B,MATCH(A102,cnpj!$A:$A,0))="","",INDEX(cnpj!$B:$B,MATCH(A102,cnpj!$A:$A,0))),"")</f>
        <v>01.986.119/0001-48</v>
      </c>
      <c r="C102" s="5" t="str">
        <f aca="false">IF(B102="","",RIGHT("00000000000000"&amp;SUBSTITUTE(SUBSTITUTE(SUBSTITUTE(SUBSTITUTE(B102,".",""),"/",""),"-","")," ",""),14))</f>
        <v>01986119000148</v>
      </c>
      <c r="D102" s="5" t="str">
        <f aca="false">IF(C102="","",MID(C102,1,2)&amp;"."&amp;MID(C102,3,3)&amp;"."&amp;MID(C102,6,3)&amp;"/"&amp;MID(C102,9,4)&amp;"-"&amp;MID(C102,13,2))</f>
        <v>01.986.119/0001-48</v>
      </c>
      <c r="E102" s="4" t="str">
        <f aca="false">IF(ISNA(MATCH(A102,cnpj!$A:$A,0)),"Lotação não existe na aba cnpj",IF(B102="","Sem CNPJ na aba cnpj","OK"))</f>
        <v>OK</v>
      </c>
    </row>
    <row r="103" customFormat="false" ht="15" hidden="false" customHeight="false" outlineLevel="0" collapsed="false">
      <c r="A103" s="4" t="n">
        <f aca="false">sisgi!A103</f>
        <v>11703</v>
      </c>
      <c r="B103" s="5" t="str">
        <f aca="false">IFERROR(IF(INDEX(cnpj!$B:$B,MATCH(A103,cnpj!$A:$A,0))="","",INDEX(cnpj!$B:$B,MATCH(A103,cnpj!$A:$A,0))),"")</f>
        <v>01.922.890/0001-51</v>
      </c>
      <c r="C103" s="5" t="str">
        <f aca="false">IF(B103="","",RIGHT("00000000000000"&amp;SUBSTITUTE(SUBSTITUTE(SUBSTITUTE(SUBSTITUTE(B103,".",""),"/",""),"-","")," ",""),14))</f>
        <v>01922890000151</v>
      </c>
      <c r="D103" s="5" t="str">
        <f aca="false">IF(C103="","",MID(C103,1,2)&amp;"."&amp;MID(C103,3,3)&amp;"."&amp;MID(C103,6,3)&amp;"/"&amp;MID(C103,9,4)&amp;"-"&amp;MID(C103,13,2))</f>
        <v>01.922.890/0001-51</v>
      </c>
      <c r="E103" s="4" t="str">
        <f aca="false">IF(ISNA(MATCH(A103,cnpj!$A:$A,0)),"Lotação não existe na aba cnpj",IF(B103="","Sem CNPJ na aba cnpj","OK"))</f>
        <v>OK</v>
      </c>
    </row>
    <row r="104" customFormat="false" ht="15" hidden="false" customHeight="false" outlineLevel="0" collapsed="false">
      <c r="A104" s="4" t="n">
        <f aca="false">sisgi!A104</f>
        <v>11797</v>
      </c>
      <c r="B104" s="5" t="str">
        <f aca="false">IFERROR(IF(INDEX(cnpj!$B:$B,MATCH(A104,cnpj!$A:$A,0))="","",INDEX(cnpj!$B:$B,MATCH(A104,cnpj!$A:$A,0))),"")</f>
        <v>01.922.878/0001-47</v>
      </c>
      <c r="C104" s="5" t="str">
        <f aca="false">IF(B104="","",RIGHT("00000000000000"&amp;SUBSTITUTE(SUBSTITUTE(SUBSTITUTE(SUBSTITUTE(B104,".",""),"/",""),"-","")," ",""),14))</f>
        <v>01922878000147</v>
      </c>
      <c r="D104" s="5" t="str">
        <f aca="false">IF(C104="","",MID(C104,1,2)&amp;"."&amp;MID(C104,3,3)&amp;"."&amp;MID(C104,6,3)&amp;"/"&amp;MID(C104,9,4)&amp;"-"&amp;MID(C104,13,2))</f>
        <v>01.922.878/0001-47</v>
      </c>
      <c r="E104" s="4" t="str">
        <f aca="false">IF(ISNA(MATCH(A104,cnpj!$A:$A,0)),"Lotação não existe na aba cnpj",IF(B104="","Sem CNPJ na aba cnpj","OK"))</f>
        <v>OK</v>
      </c>
    </row>
    <row r="105" customFormat="false" ht="15" hidden="false" customHeight="false" outlineLevel="0" collapsed="false">
      <c r="A105" s="4" t="n">
        <f aca="false">sisgi!A105</f>
        <v>11843</v>
      </c>
      <c r="B105" s="5" t="str">
        <f aca="false">IFERROR(IF(INDEX(cnpj!$B:$B,MATCH(A105,cnpj!$A:$A,0))="","",INDEX(cnpj!$B:$B,MATCH(A105,cnpj!$A:$A,0))),"")</f>
        <v>03.173.542/0001-54</v>
      </c>
      <c r="C105" s="5" t="str">
        <f aca="false">IF(B105="","",RIGHT("00000000000000"&amp;SUBSTITUTE(SUBSTITUTE(SUBSTITUTE(SUBSTITUTE(B105,".",""),"/",""),"-","")," ",""),14))</f>
        <v>03173542000154</v>
      </c>
      <c r="D105" s="5" t="str">
        <f aca="false">IF(C105="","",MID(C105,1,2)&amp;"."&amp;MID(C105,3,3)&amp;"."&amp;MID(C105,6,3)&amp;"/"&amp;MID(C105,9,4)&amp;"-"&amp;MID(C105,13,2))</f>
        <v>03.173.542/0001-54</v>
      </c>
      <c r="E105" s="4" t="str">
        <f aca="false">IF(ISNA(MATCH(A105,cnpj!$A:$A,0)),"Lotação não existe na aba cnpj",IF(B105="","Sem CNPJ na aba cnpj","OK"))</f>
        <v>OK</v>
      </c>
    </row>
    <row r="106" customFormat="false" ht="15" hidden="false" customHeight="false" outlineLevel="0" collapsed="false">
      <c r="A106" s="4" t="n">
        <f aca="false">sisgi!A106</f>
        <v>11886</v>
      </c>
      <c r="B106" s="5" t="str">
        <f aca="false">IFERROR(IF(INDEX(cnpj!$B:$B,MATCH(A106,cnpj!$A:$A,0))="","",INDEX(cnpj!$B:$B,MATCH(A106,cnpj!$A:$A,0))),"")</f>
        <v>01.978.122/0001-10</v>
      </c>
      <c r="C106" s="5" t="str">
        <f aca="false">IF(B106="","",RIGHT("00000000000000"&amp;SUBSTITUTE(SUBSTITUTE(SUBSTITUTE(SUBSTITUTE(B106,".",""),"/",""),"-","")," ",""),14))</f>
        <v>01978122000110</v>
      </c>
      <c r="D106" s="5" t="str">
        <f aca="false">IF(C106="","",MID(C106,1,2)&amp;"."&amp;MID(C106,3,3)&amp;"."&amp;MID(C106,6,3)&amp;"/"&amp;MID(C106,9,4)&amp;"-"&amp;MID(C106,13,2))</f>
        <v>01.978.122/0001-10</v>
      </c>
      <c r="E106" s="4" t="str">
        <f aca="false">IF(ISNA(MATCH(A106,cnpj!$A:$A,0)),"Lotação não existe na aba cnpj",IF(B106="","Sem CNPJ na aba cnpj","OK"))</f>
        <v>OK</v>
      </c>
    </row>
    <row r="107" customFormat="false" ht="15" hidden="false" customHeight="false" outlineLevel="0" collapsed="false">
      <c r="A107" s="4" t="n">
        <f aca="false">sisgi!A107</f>
        <v>11894</v>
      </c>
      <c r="B107" s="5" t="str">
        <f aca="false">IFERROR(IF(INDEX(cnpj!$B:$B,MATCH(A107,cnpj!$A:$A,0))="","",INDEX(cnpj!$B:$B,MATCH(A107,cnpj!$A:$A,0))),"")</f>
        <v>01.641.304/0001-09</v>
      </c>
      <c r="C107" s="5" t="str">
        <f aca="false">IF(B107="","",RIGHT("00000000000000"&amp;SUBSTITUTE(SUBSTITUTE(SUBSTITUTE(SUBSTITUTE(B107,".",""),"/",""),"-","")," ",""),14))</f>
        <v>01641304000109</v>
      </c>
      <c r="D107" s="5" t="str">
        <f aca="false">IF(C107="","",MID(C107,1,2)&amp;"."&amp;MID(C107,3,3)&amp;"."&amp;MID(C107,6,3)&amp;"/"&amp;MID(C107,9,4)&amp;"-"&amp;MID(C107,13,2))</f>
        <v>01.641.304/0001-09</v>
      </c>
      <c r="E107" s="4" t="str">
        <f aca="false">IF(ISNA(MATCH(A107,cnpj!$A:$A,0)),"Lotação não existe na aba cnpj",IF(B107="","Sem CNPJ na aba cnpj","OK"))</f>
        <v>OK</v>
      </c>
    </row>
    <row r="108" customFormat="false" ht="15" hidden="false" customHeight="false" outlineLevel="0" collapsed="false">
      <c r="A108" s="4" t="n">
        <f aca="false">sisgi!A108</f>
        <v>11932</v>
      </c>
      <c r="B108" s="5" t="str">
        <f aca="false">IFERROR(IF(INDEX(cnpj!$B:$B,MATCH(A108,cnpj!$A:$A,0))="","",INDEX(cnpj!$B:$B,MATCH(A108,cnpj!$A:$A,0))),"")</f>
        <v>03.306.703/0001-30</v>
      </c>
      <c r="C108" s="5" t="str">
        <f aca="false">IF(B108="","",RIGHT("00000000000000"&amp;SUBSTITUTE(SUBSTITUTE(SUBSTITUTE(SUBSTITUTE(B108,".",""),"/",""),"-","")," ",""),14))</f>
        <v>03306703000130</v>
      </c>
      <c r="D108" s="5" t="str">
        <f aca="false">IF(C108="","",MID(C108,1,2)&amp;"."&amp;MID(C108,3,3)&amp;"."&amp;MID(C108,6,3)&amp;"/"&amp;MID(C108,9,4)&amp;"-"&amp;MID(C108,13,2))</f>
        <v>03.306.703/0001-30</v>
      </c>
      <c r="E108" s="4" t="str">
        <f aca="false">IF(ISNA(MATCH(A108,cnpj!$A:$A,0)),"Lotação não existe na aba cnpj",IF(B108="","Sem CNPJ na aba cnpj","OK"))</f>
        <v>OK</v>
      </c>
    </row>
    <row r="109" customFormat="false" ht="15" hidden="false" customHeight="false" outlineLevel="0" collapsed="false">
      <c r="A109" s="4" t="n">
        <f aca="false">sisgi!A109</f>
        <v>11940</v>
      </c>
      <c r="B109" s="5" t="str">
        <f aca="false">IFERROR(IF(INDEX(cnpj!$B:$B,MATCH(A109,cnpj!$A:$A,0))="","",INDEX(cnpj!$B:$B,MATCH(A109,cnpj!$A:$A,0))),"")</f>
        <v>02.177.692/0001-73</v>
      </c>
      <c r="C109" s="5" t="str">
        <f aca="false">IF(B109="","",RIGHT("00000000000000"&amp;SUBSTITUTE(SUBSTITUTE(SUBSTITUTE(SUBSTITUTE(B109,".",""),"/",""),"-","")," ",""),14))</f>
        <v>02177692000173</v>
      </c>
      <c r="D109" s="5" t="str">
        <f aca="false">IF(C109="","",MID(C109,1,2)&amp;"."&amp;MID(C109,3,3)&amp;"."&amp;MID(C109,6,3)&amp;"/"&amp;MID(C109,9,4)&amp;"-"&amp;MID(C109,13,2))</f>
        <v>02.177.692/0001-73</v>
      </c>
      <c r="E109" s="4" t="str">
        <f aca="false">IF(ISNA(MATCH(A109,cnpj!$A:$A,0)),"Lotação não existe na aba cnpj",IF(B109="","Sem CNPJ na aba cnpj","OK"))</f>
        <v>OK</v>
      </c>
    </row>
    <row r="110" customFormat="false" ht="15" hidden="false" customHeight="false" outlineLevel="0" collapsed="false">
      <c r="A110" s="4" t="n">
        <f aca="false">sisgi!A110</f>
        <v>11959</v>
      </c>
      <c r="B110" s="5" t="str">
        <f aca="false">IFERROR(IF(INDEX(cnpj!$B:$B,MATCH(A110,cnpj!$A:$A,0))="","",INDEX(cnpj!$B:$B,MATCH(A110,cnpj!$A:$A,0))),"")</f>
        <v>02.421.184/0001-99</v>
      </c>
      <c r="C110" s="5" t="str">
        <f aca="false">IF(B110="","",RIGHT("00000000000000"&amp;SUBSTITUTE(SUBSTITUTE(SUBSTITUTE(SUBSTITUTE(B110,".",""),"/",""),"-","")," ",""),14))</f>
        <v>02421184000199</v>
      </c>
      <c r="D110" s="5" t="str">
        <f aca="false">IF(C110="","",MID(C110,1,2)&amp;"."&amp;MID(C110,3,3)&amp;"."&amp;MID(C110,6,3)&amp;"/"&amp;MID(C110,9,4)&amp;"-"&amp;MID(C110,13,2))</f>
        <v>02.421.184/0001-99</v>
      </c>
      <c r="E110" s="4" t="str">
        <f aca="false">IF(ISNA(MATCH(A110,cnpj!$A:$A,0)),"Lotação não existe na aba cnpj",IF(B110="","Sem CNPJ na aba cnpj","OK"))</f>
        <v>OK</v>
      </c>
    </row>
    <row r="111" customFormat="false" ht="15" hidden="false" customHeight="false" outlineLevel="0" collapsed="false">
      <c r="A111" s="4" t="n">
        <f aca="false">sisgi!A111</f>
        <v>11967</v>
      </c>
      <c r="B111" s="5" t="str">
        <f aca="false">IFERROR(IF(INDEX(cnpj!$B:$B,MATCH(A111,cnpj!$A:$A,0))="","",INDEX(cnpj!$B:$B,MATCH(A111,cnpj!$A:$A,0))),"")</f>
        <v>02.042.784/0001-46</v>
      </c>
      <c r="C111" s="5" t="str">
        <f aca="false">IF(B111="","",RIGHT("00000000000000"&amp;SUBSTITUTE(SUBSTITUTE(SUBSTITUTE(SUBSTITUTE(B111,".",""),"/",""),"-","")," ",""),14))</f>
        <v>02042784000146</v>
      </c>
      <c r="D111" s="5" t="str">
        <f aca="false">IF(C111="","",MID(C111,1,2)&amp;"."&amp;MID(C111,3,3)&amp;"."&amp;MID(C111,6,3)&amp;"/"&amp;MID(C111,9,4)&amp;"-"&amp;MID(C111,13,2))</f>
        <v>02.042.784/0001-46</v>
      </c>
      <c r="E111" s="4" t="str">
        <f aca="false">IF(ISNA(MATCH(A111,cnpj!$A:$A,0)),"Lotação não existe na aba cnpj",IF(B111="","Sem CNPJ na aba cnpj","OK"))</f>
        <v>OK</v>
      </c>
    </row>
    <row r="112" customFormat="false" ht="15" hidden="false" customHeight="false" outlineLevel="0" collapsed="false">
      <c r="A112" s="4" t="n">
        <f aca="false">sisgi!A112</f>
        <v>11975</v>
      </c>
      <c r="B112" s="5" t="str">
        <f aca="false">IFERROR(IF(INDEX(cnpj!$B:$B,MATCH(A112,cnpj!$A:$A,0))="","",INDEX(cnpj!$B:$B,MATCH(A112,cnpj!$A:$A,0))),"")</f>
        <v>02.012.741/0001-18</v>
      </c>
      <c r="C112" s="5" t="str">
        <f aca="false">IF(B112="","",RIGHT("00000000000000"&amp;SUBSTITUTE(SUBSTITUTE(SUBSTITUTE(SUBSTITUTE(B112,".",""),"/",""),"-","")," ",""),14))</f>
        <v>02012741000118</v>
      </c>
      <c r="D112" s="5" t="str">
        <f aca="false">IF(C112="","",MID(C112,1,2)&amp;"."&amp;MID(C112,3,3)&amp;"."&amp;MID(C112,6,3)&amp;"/"&amp;MID(C112,9,4)&amp;"-"&amp;MID(C112,13,2))</f>
        <v>02.012.741/0001-18</v>
      </c>
      <c r="E112" s="4" t="str">
        <f aca="false">IF(ISNA(MATCH(A112,cnpj!$A:$A,0)),"Lotação não existe na aba cnpj",IF(B112="","Sem CNPJ na aba cnpj","OK"))</f>
        <v>OK</v>
      </c>
    </row>
    <row r="113" customFormat="false" ht="15" hidden="false" customHeight="false" outlineLevel="0" collapsed="false">
      <c r="A113" s="4" t="n">
        <f aca="false">sisgi!A113</f>
        <v>11991</v>
      </c>
      <c r="B113" s="5" t="str">
        <f aca="false">IFERROR(IF(INDEX(cnpj!$B:$B,MATCH(A113,cnpj!$A:$A,0))="","",INDEX(cnpj!$B:$B,MATCH(A113,cnpj!$A:$A,0))),"")</f>
        <v>03.573.224/0001-80</v>
      </c>
      <c r="C113" s="5" t="str">
        <f aca="false">IF(B113="","",RIGHT("00000000000000"&amp;SUBSTITUTE(SUBSTITUTE(SUBSTITUTE(SUBSTITUTE(B113,".",""),"/",""),"-","")," ",""),14))</f>
        <v>03573224000180</v>
      </c>
      <c r="D113" s="5" t="str">
        <f aca="false">IF(C113="","",MID(C113,1,2)&amp;"."&amp;MID(C113,3,3)&amp;"."&amp;MID(C113,6,3)&amp;"/"&amp;MID(C113,9,4)&amp;"-"&amp;MID(C113,13,2))</f>
        <v>03.573.224/0001-80</v>
      </c>
      <c r="E113" s="4" t="str">
        <f aca="false">IF(ISNA(MATCH(A113,cnpj!$A:$A,0)),"Lotação não existe na aba cnpj",IF(B113="","Sem CNPJ na aba cnpj","OK"))</f>
        <v>OK</v>
      </c>
    </row>
    <row r="114" customFormat="false" ht="15" hidden="false" customHeight="false" outlineLevel="0" collapsed="false">
      <c r="A114" s="4" t="n">
        <f aca="false">sisgi!A114</f>
        <v>12017</v>
      </c>
      <c r="B114" s="5" t="str">
        <f aca="false">IFERROR(IF(INDEX(cnpj!$B:$B,MATCH(A114,cnpj!$A:$A,0))="","",INDEX(cnpj!$B:$B,MATCH(A114,cnpj!$A:$A,0))),"")</f>
        <v>02.791.360/0001-84</v>
      </c>
      <c r="C114" s="5" t="str">
        <f aca="false">IF(B114="","",RIGHT("00000000000000"&amp;SUBSTITUTE(SUBSTITUTE(SUBSTITUTE(SUBSTITUTE(B114,".",""),"/",""),"-","")," ",""),14))</f>
        <v>02791360000184</v>
      </c>
      <c r="D114" s="5" t="str">
        <f aca="false">IF(C114="","",MID(C114,1,2)&amp;"."&amp;MID(C114,3,3)&amp;"."&amp;MID(C114,6,3)&amp;"/"&amp;MID(C114,9,4)&amp;"-"&amp;MID(C114,13,2))</f>
        <v>02.791.360/0001-84</v>
      </c>
      <c r="E114" s="4" t="str">
        <f aca="false">IF(ISNA(MATCH(A114,cnpj!$A:$A,0)),"Lotação não existe na aba cnpj",IF(B114="","Sem CNPJ na aba cnpj","OK"))</f>
        <v>OK</v>
      </c>
    </row>
    <row r="115" customFormat="false" ht="15" hidden="false" customHeight="false" outlineLevel="0" collapsed="false">
      <c r="A115" s="4" t="n">
        <f aca="false">sisgi!A115</f>
        <v>12025</v>
      </c>
      <c r="B115" s="5" t="str">
        <f aca="false">IFERROR(IF(INDEX(cnpj!$B:$B,MATCH(A115,cnpj!$A:$A,0))="","",INDEX(cnpj!$B:$B,MATCH(A115,cnpj!$A:$A,0))),"")</f>
        <v>03.185.056/0001-56</v>
      </c>
      <c r="C115" s="5" t="str">
        <f aca="false">IF(B115="","",RIGHT("00000000000000"&amp;SUBSTITUTE(SUBSTITUTE(SUBSTITUTE(SUBSTITUTE(B115,".",""),"/",""),"-","")," ",""),14))</f>
        <v>03185056000156</v>
      </c>
      <c r="D115" s="5" t="str">
        <f aca="false">IF(C115="","",MID(C115,1,2)&amp;"."&amp;MID(C115,3,3)&amp;"."&amp;MID(C115,6,3)&amp;"/"&amp;MID(C115,9,4)&amp;"-"&amp;MID(C115,13,2))</f>
        <v>03.185.056/0001-56</v>
      </c>
      <c r="E115" s="4" t="str">
        <f aca="false">IF(ISNA(MATCH(A115,cnpj!$A:$A,0)),"Lotação não existe na aba cnpj",IF(B115="","Sem CNPJ na aba cnpj","OK"))</f>
        <v>OK</v>
      </c>
    </row>
    <row r="116" customFormat="false" ht="15" hidden="false" customHeight="false" outlineLevel="0" collapsed="false">
      <c r="A116" s="4" t="n">
        <f aca="false">sisgi!A116</f>
        <v>12050</v>
      </c>
      <c r="B116" s="5" t="str">
        <f aca="false">IFERROR(IF(INDEX(cnpj!$B:$B,MATCH(A116,cnpj!$A:$A,0))="","",INDEX(cnpj!$B:$B,MATCH(A116,cnpj!$A:$A,0))),"")</f>
        <v>03.133.674/0001-52</v>
      </c>
      <c r="C116" s="5" t="str">
        <f aca="false">IF(B116="","",RIGHT("00000000000000"&amp;SUBSTITUTE(SUBSTITUTE(SUBSTITUTE(SUBSTITUTE(B116,".",""),"/",""),"-","")," ",""),14))</f>
        <v>03133674000152</v>
      </c>
      <c r="D116" s="5" t="str">
        <f aca="false">IF(C116="","",MID(C116,1,2)&amp;"."&amp;MID(C116,3,3)&amp;"."&amp;MID(C116,6,3)&amp;"/"&amp;MID(C116,9,4)&amp;"-"&amp;MID(C116,13,2))</f>
        <v>03.133.674/0001-52</v>
      </c>
      <c r="E116" s="4" t="str">
        <f aca="false">IF(ISNA(MATCH(A116,cnpj!$A:$A,0)),"Lotação não existe na aba cnpj",IF(B116="","Sem CNPJ na aba cnpj","OK"))</f>
        <v>OK</v>
      </c>
    </row>
    <row r="117" customFormat="false" ht="15" hidden="false" customHeight="false" outlineLevel="0" collapsed="false">
      <c r="A117" s="4" t="n">
        <f aca="false">sisgi!A117</f>
        <v>12084</v>
      </c>
      <c r="B117" s="5" t="str">
        <f aca="false">IFERROR(IF(INDEX(cnpj!$B:$B,MATCH(A117,cnpj!$A:$A,0))="","",INDEX(cnpj!$B:$B,MATCH(A117,cnpj!$A:$A,0))),"")</f>
        <v>03.149.386/0001-96</v>
      </c>
      <c r="C117" s="5" t="str">
        <f aca="false">IF(B117="","",RIGHT("00000000000000"&amp;SUBSTITUTE(SUBSTITUTE(SUBSTITUTE(SUBSTITUTE(B117,".",""),"/",""),"-","")," ",""),14))</f>
        <v>03149386000196</v>
      </c>
      <c r="D117" s="5" t="str">
        <f aca="false">IF(C117="","",MID(C117,1,2)&amp;"."&amp;MID(C117,3,3)&amp;"."&amp;MID(C117,6,3)&amp;"/"&amp;MID(C117,9,4)&amp;"-"&amp;MID(C117,13,2))</f>
        <v>03.149.386/0001-96</v>
      </c>
      <c r="E117" s="4" t="str">
        <f aca="false">IF(ISNA(MATCH(A117,cnpj!$A:$A,0)),"Lotação não existe na aba cnpj",IF(B117="","Sem CNPJ na aba cnpj","OK"))</f>
        <v>OK</v>
      </c>
    </row>
    <row r="118" customFormat="false" ht="15" hidden="false" customHeight="false" outlineLevel="0" collapsed="false">
      <c r="A118" s="4" t="n">
        <f aca="false">sisgi!A118</f>
        <v>12106</v>
      </c>
      <c r="B118" s="5" t="str">
        <f aca="false">IFERROR(IF(INDEX(cnpj!$B:$B,MATCH(A118,cnpj!$A:$A,0))="","",INDEX(cnpj!$B:$B,MATCH(A118,cnpj!$A:$A,0))),"")</f>
        <v>04.665.726/0001-02</v>
      </c>
      <c r="C118" s="5" t="str">
        <f aca="false">IF(B118="","",RIGHT("00000000000000"&amp;SUBSTITUTE(SUBSTITUTE(SUBSTITUTE(SUBSTITUTE(B118,".",""),"/",""),"-","")," ",""),14))</f>
        <v>04665726000102</v>
      </c>
      <c r="D118" s="5" t="str">
        <f aca="false">IF(C118="","",MID(C118,1,2)&amp;"."&amp;MID(C118,3,3)&amp;"."&amp;MID(C118,6,3)&amp;"/"&amp;MID(C118,9,4)&amp;"-"&amp;MID(C118,13,2))</f>
        <v>04.665.726/0001-02</v>
      </c>
      <c r="E118" s="4" t="str">
        <f aca="false">IF(ISNA(MATCH(A118,cnpj!$A:$A,0)),"Lotação não existe na aba cnpj",IF(B118="","Sem CNPJ na aba cnpj","OK"))</f>
        <v>OK</v>
      </c>
    </row>
    <row r="119" customFormat="false" ht="15" hidden="false" customHeight="false" outlineLevel="0" collapsed="false">
      <c r="A119" s="4" t="n">
        <f aca="false">sisgi!A119</f>
        <v>12114</v>
      </c>
      <c r="B119" s="5" t="str">
        <f aca="false">IFERROR(IF(INDEX(cnpj!$B:$B,MATCH(A119,cnpj!$A:$A,0))="","",INDEX(cnpj!$B:$B,MATCH(A119,cnpj!$A:$A,0))),"")</f>
        <v>02.039.558/0001-06</v>
      </c>
      <c r="C119" s="5" t="str">
        <f aca="false">IF(B119="","",RIGHT("00000000000000"&amp;SUBSTITUTE(SUBSTITUTE(SUBSTITUTE(SUBSTITUTE(B119,".",""),"/",""),"-","")," ",""),14))</f>
        <v>02039558000106</v>
      </c>
      <c r="D119" s="5" t="str">
        <f aca="false">IF(C119="","",MID(C119,1,2)&amp;"."&amp;MID(C119,3,3)&amp;"."&amp;MID(C119,6,3)&amp;"/"&amp;MID(C119,9,4)&amp;"-"&amp;MID(C119,13,2))</f>
        <v>02.039.558/0001-06</v>
      </c>
      <c r="E119" s="4" t="str">
        <f aca="false">IF(ISNA(MATCH(A119,cnpj!$A:$A,0)),"Lotação não existe na aba cnpj",IF(B119="","Sem CNPJ na aba cnpj","OK"))</f>
        <v>OK</v>
      </c>
    </row>
    <row r="120" customFormat="false" ht="15" hidden="false" customHeight="false" outlineLevel="0" collapsed="false">
      <c r="A120" s="4" t="n">
        <f aca="false">sisgi!A120</f>
        <v>12122</v>
      </c>
      <c r="B120" s="5" t="str">
        <f aca="false">IFERROR(IF(INDEX(cnpj!$B:$B,MATCH(A120,cnpj!$A:$A,0))="","",INDEX(cnpj!$B:$B,MATCH(A120,cnpj!$A:$A,0))),"")</f>
        <v>03.202.004/0001-40</v>
      </c>
      <c r="C120" s="5" t="str">
        <f aca="false">IF(B120="","",RIGHT("00000000000000"&amp;SUBSTITUTE(SUBSTITUTE(SUBSTITUTE(SUBSTITUTE(B120,".",""),"/",""),"-","")," ",""),14))</f>
        <v>03202004000140</v>
      </c>
      <c r="D120" s="5" t="str">
        <f aca="false">IF(C120="","",MID(C120,1,2)&amp;"."&amp;MID(C120,3,3)&amp;"."&amp;MID(C120,6,3)&amp;"/"&amp;MID(C120,9,4)&amp;"-"&amp;MID(C120,13,2))</f>
        <v>03.202.004/0001-40</v>
      </c>
      <c r="E120" s="4" t="str">
        <f aca="false">IF(ISNA(MATCH(A120,cnpj!$A:$A,0)),"Lotação não existe na aba cnpj",IF(B120="","Sem CNPJ na aba cnpj","OK"))</f>
        <v>OK</v>
      </c>
    </row>
    <row r="121" customFormat="false" ht="15" hidden="false" customHeight="false" outlineLevel="0" collapsed="false">
      <c r="A121" s="4" t="n">
        <f aca="false">sisgi!A121</f>
        <v>12130</v>
      </c>
      <c r="B121" s="5" t="str">
        <f aca="false">IFERROR(IF(INDEX(cnpj!$B:$B,MATCH(A121,cnpj!$A:$A,0))="","",INDEX(cnpj!$B:$B,MATCH(A121,cnpj!$A:$A,0))),"")</f>
        <v>03.047.023/0001-40</v>
      </c>
      <c r="C121" s="5" t="str">
        <f aca="false">IF(B121="","",RIGHT("00000000000000"&amp;SUBSTITUTE(SUBSTITUTE(SUBSTITUTE(SUBSTITUTE(B121,".",""),"/",""),"-","")," ",""),14))</f>
        <v>03047023000140</v>
      </c>
      <c r="D121" s="5" t="str">
        <f aca="false">IF(C121="","",MID(C121,1,2)&amp;"."&amp;MID(C121,3,3)&amp;"."&amp;MID(C121,6,3)&amp;"/"&amp;MID(C121,9,4)&amp;"-"&amp;MID(C121,13,2))</f>
        <v>03.047.023/0001-40</v>
      </c>
      <c r="E121" s="4" t="str">
        <f aca="false">IF(ISNA(MATCH(A121,cnpj!$A:$A,0)),"Lotação não existe na aba cnpj",IF(B121="","Sem CNPJ na aba cnpj","OK"))</f>
        <v>OK</v>
      </c>
    </row>
    <row r="122" customFormat="false" ht="15" hidden="false" customHeight="false" outlineLevel="0" collapsed="false">
      <c r="A122" s="4" t="n">
        <f aca="false">sisgi!A122</f>
        <v>12149</v>
      </c>
      <c r="B122" s="5" t="str">
        <f aca="false">IFERROR(IF(INDEX(cnpj!$B:$B,MATCH(A122,cnpj!$A:$A,0))="","",INDEX(cnpj!$B:$B,MATCH(A122,cnpj!$A:$A,0))),"")</f>
        <v>03.149.369/0001-59</v>
      </c>
      <c r="C122" s="5" t="str">
        <f aca="false">IF(B122="","",RIGHT("00000000000000"&amp;SUBSTITUTE(SUBSTITUTE(SUBSTITUTE(SUBSTITUTE(B122,".",""),"/",""),"-","")," ",""),14))</f>
        <v>03149369000159</v>
      </c>
      <c r="D122" s="5" t="str">
        <f aca="false">IF(C122="","",MID(C122,1,2)&amp;"."&amp;MID(C122,3,3)&amp;"."&amp;MID(C122,6,3)&amp;"/"&amp;MID(C122,9,4)&amp;"-"&amp;MID(C122,13,2))</f>
        <v>03.149.369/0001-59</v>
      </c>
      <c r="E122" s="4" t="str">
        <f aca="false">IF(ISNA(MATCH(A122,cnpj!$A:$A,0)),"Lotação não existe na aba cnpj",IF(B122="","Sem CNPJ na aba cnpj","OK"))</f>
        <v>OK</v>
      </c>
    </row>
    <row r="123" customFormat="false" ht="15" hidden="false" customHeight="false" outlineLevel="0" collapsed="false">
      <c r="A123" s="4" t="n">
        <f aca="false">sisgi!A123</f>
        <v>12157</v>
      </c>
      <c r="B123" s="5" t="str">
        <f aca="false">IFERROR(IF(INDEX(cnpj!$B:$B,MATCH(A123,cnpj!$A:$A,0))="","",INDEX(cnpj!$B:$B,MATCH(A123,cnpj!$A:$A,0))),"")</f>
        <v>02.402.836/0001-48</v>
      </c>
      <c r="C123" s="5" t="str">
        <f aca="false">IF(B123="","",RIGHT("00000000000000"&amp;SUBSTITUTE(SUBSTITUTE(SUBSTITUTE(SUBSTITUTE(B123,".",""),"/",""),"-","")," ",""),14))</f>
        <v>02402836000148</v>
      </c>
      <c r="D123" s="5" t="str">
        <f aca="false">IF(C123="","",MID(C123,1,2)&amp;"."&amp;MID(C123,3,3)&amp;"."&amp;MID(C123,6,3)&amp;"/"&amp;MID(C123,9,4)&amp;"-"&amp;MID(C123,13,2))</f>
        <v>02.402.836/0001-48</v>
      </c>
      <c r="E123" s="4" t="str">
        <f aca="false">IF(ISNA(MATCH(A123,cnpj!$A:$A,0)),"Lotação não existe na aba cnpj",IF(B123="","Sem CNPJ na aba cnpj","OK"))</f>
        <v>OK</v>
      </c>
    </row>
    <row r="124" customFormat="false" ht="15" hidden="false" customHeight="false" outlineLevel="0" collapsed="false">
      <c r="A124" s="4" t="n">
        <f aca="false">sisgi!A124</f>
        <v>12181</v>
      </c>
      <c r="B124" s="5" t="str">
        <f aca="false">IFERROR(IF(INDEX(cnpj!$B:$B,MATCH(A124,cnpj!$A:$A,0))="","",INDEX(cnpj!$B:$B,MATCH(A124,cnpj!$A:$A,0))),"")</f>
        <v>02.010.872/0001-66</v>
      </c>
      <c r="C124" s="5" t="str">
        <f aca="false">IF(B124="","",RIGHT("00000000000000"&amp;SUBSTITUTE(SUBSTITUTE(SUBSTITUTE(SUBSTITUTE(B124,".",""),"/",""),"-","")," ",""),14))</f>
        <v>02010872000166</v>
      </c>
      <c r="D124" s="5" t="str">
        <f aca="false">IF(C124="","",MID(C124,1,2)&amp;"."&amp;MID(C124,3,3)&amp;"."&amp;MID(C124,6,3)&amp;"/"&amp;MID(C124,9,4)&amp;"-"&amp;MID(C124,13,2))</f>
        <v>02.010.872/0001-66</v>
      </c>
      <c r="E124" s="4" t="str">
        <f aca="false">IF(ISNA(MATCH(A124,cnpj!$A:$A,0)),"Lotação não existe na aba cnpj",IF(B124="","Sem CNPJ na aba cnpj","OK"))</f>
        <v>OK</v>
      </c>
    </row>
    <row r="125" customFormat="false" ht="15" hidden="false" customHeight="false" outlineLevel="0" collapsed="false">
      <c r="A125" s="4" t="n">
        <f aca="false">sisgi!A125</f>
        <v>12238</v>
      </c>
      <c r="B125" s="5" t="str">
        <f aca="false">IFERROR(IF(INDEX(cnpj!$B:$B,MATCH(A125,cnpj!$A:$A,0))="","",INDEX(cnpj!$B:$B,MATCH(A125,cnpj!$A:$A,0))),"")</f>
        <v>03.028.106/0001-91</v>
      </c>
      <c r="C125" s="5" t="str">
        <f aca="false">IF(B125="","",RIGHT("00000000000000"&amp;SUBSTITUTE(SUBSTITUTE(SUBSTITUTE(SUBSTITUTE(B125,".",""),"/",""),"-","")," ",""),14))</f>
        <v>03028106000191</v>
      </c>
      <c r="D125" s="5" t="str">
        <f aca="false">IF(C125="","",MID(C125,1,2)&amp;"."&amp;MID(C125,3,3)&amp;"."&amp;MID(C125,6,3)&amp;"/"&amp;MID(C125,9,4)&amp;"-"&amp;MID(C125,13,2))</f>
        <v>03.028.106/0001-91</v>
      </c>
      <c r="E125" s="4" t="str">
        <f aca="false">IF(ISNA(MATCH(A125,cnpj!$A:$A,0)),"Lotação não existe na aba cnpj",IF(B125="","Sem CNPJ na aba cnpj","OK"))</f>
        <v>OK</v>
      </c>
    </row>
    <row r="126" customFormat="false" ht="15" hidden="false" customHeight="false" outlineLevel="0" collapsed="false">
      <c r="A126" s="4" t="n">
        <f aca="false">sisgi!A126</f>
        <v>12246</v>
      </c>
      <c r="B126" s="5" t="str">
        <f aca="false">IFERROR(IF(INDEX(cnpj!$B:$B,MATCH(A126,cnpj!$A:$A,0))="","",INDEX(cnpj!$B:$B,MATCH(A126,cnpj!$A:$A,0))),"")</f>
        <v>02.042.783/0001-00</v>
      </c>
      <c r="C126" s="5" t="str">
        <f aca="false">IF(B126="","",RIGHT("00000000000000"&amp;SUBSTITUTE(SUBSTITUTE(SUBSTITUTE(SUBSTITUTE(B126,".",""),"/",""),"-","")," ",""),14))</f>
        <v>02042783000100</v>
      </c>
      <c r="D126" s="5" t="str">
        <f aca="false">IF(C126="","",MID(C126,1,2)&amp;"."&amp;MID(C126,3,3)&amp;"."&amp;MID(C126,6,3)&amp;"/"&amp;MID(C126,9,4)&amp;"-"&amp;MID(C126,13,2))</f>
        <v>02.042.783/0001-00</v>
      </c>
      <c r="E126" s="4" t="str">
        <f aca="false">IF(ISNA(MATCH(A126,cnpj!$A:$A,0)),"Lotação não existe na aba cnpj",IF(B126="","Sem CNPJ na aba cnpj","OK"))</f>
        <v>OK</v>
      </c>
    </row>
    <row r="127" customFormat="false" ht="15" hidden="false" customHeight="false" outlineLevel="0" collapsed="false">
      <c r="A127" s="4" t="n">
        <f aca="false">sisgi!A127</f>
        <v>12254</v>
      </c>
      <c r="B127" s="5" t="str">
        <f aca="false">IFERROR(IF(INDEX(cnpj!$B:$B,MATCH(A127,cnpj!$A:$A,0))="","",INDEX(cnpj!$B:$B,MATCH(A127,cnpj!$A:$A,0))),"")</f>
        <v>02.074.021/0001-87</v>
      </c>
      <c r="C127" s="5" t="str">
        <f aca="false">IF(B127="","",RIGHT("00000000000000"&amp;SUBSTITUTE(SUBSTITUTE(SUBSTITUTE(SUBSTITUTE(B127,".",""),"/",""),"-","")," ",""),14))</f>
        <v>02074021000187</v>
      </c>
      <c r="D127" s="5" t="str">
        <f aca="false">IF(C127="","",MID(C127,1,2)&amp;"."&amp;MID(C127,3,3)&amp;"."&amp;MID(C127,6,3)&amp;"/"&amp;MID(C127,9,4)&amp;"-"&amp;MID(C127,13,2))</f>
        <v>02.074.021/0001-87</v>
      </c>
      <c r="E127" s="4" t="str">
        <f aca="false">IF(ISNA(MATCH(A127,cnpj!$A:$A,0)),"Lotação não existe na aba cnpj",IF(B127="","Sem CNPJ na aba cnpj","OK"))</f>
        <v>OK</v>
      </c>
    </row>
    <row r="128" customFormat="false" ht="15" hidden="false" customHeight="false" outlineLevel="0" collapsed="false">
      <c r="A128" s="4" t="n">
        <f aca="false">sisgi!A128</f>
        <v>12262</v>
      </c>
      <c r="B128" s="5" t="str">
        <f aca="false">IFERROR(IF(INDEX(cnpj!$B:$B,MATCH(A128,cnpj!$A:$A,0))="","",INDEX(cnpj!$B:$B,MATCH(A128,cnpj!$A:$A,0))),"")</f>
        <v>02.031.081/0001-12</v>
      </c>
      <c r="C128" s="5" t="str">
        <f aca="false">IF(B128="","",RIGHT("00000000000000"&amp;SUBSTITUTE(SUBSTITUTE(SUBSTITUTE(SUBSTITUTE(B128,".",""),"/",""),"-","")," ",""),14))</f>
        <v>02031081000112</v>
      </c>
      <c r="D128" s="5" t="str">
        <f aca="false">IF(C128="","",MID(C128,1,2)&amp;"."&amp;MID(C128,3,3)&amp;"."&amp;MID(C128,6,3)&amp;"/"&amp;MID(C128,9,4)&amp;"-"&amp;MID(C128,13,2))</f>
        <v>02.031.081/0001-12</v>
      </c>
      <c r="E128" s="4" t="str">
        <f aca="false">IF(ISNA(MATCH(A128,cnpj!$A:$A,0)),"Lotação não existe na aba cnpj",IF(B128="","Sem CNPJ na aba cnpj","OK"))</f>
        <v>OK</v>
      </c>
    </row>
    <row r="129" customFormat="false" ht="15" hidden="false" customHeight="false" outlineLevel="0" collapsed="false">
      <c r="A129" s="4" t="n">
        <f aca="false">sisgi!A129</f>
        <v>12289</v>
      </c>
      <c r="B129" s="5" t="str">
        <f aca="false">IFERROR(IF(INDEX(cnpj!$B:$B,MATCH(A129,cnpj!$A:$A,0))="","",INDEX(cnpj!$B:$B,MATCH(A129,cnpj!$A:$A,0))),"")</f>
        <v>02.554.347/0001-01</v>
      </c>
      <c r="C129" s="5" t="str">
        <f aca="false">IF(B129="","",RIGHT("00000000000000"&amp;SUBSTITUTE(SUBSTITUTE(SUBSTITUTE(SUBSTITUTE(B129,".",""),"/",""),"-","")," ",""),14))</f>
        <v>02554347000101</v>
      </c>
      <c r="D129" s="5" t="str">
        <f aca="false">IF(C129="","",MID(C129,1,2)&amp;"."&amp;MID(C129,3,3)&amp;"."&amp;MID(C129,6,3)&amp;"/"&amp;MID(C129,9,4)&amp;"-"&amp;MID(C129,13,2))</f>
        <v>02.554.347/0001-01</v>
      </c>
      <c r="E129" s="4" t="str">
        <f aca="false">IF(ISNA(MATCH(A129,cnpj!$A:$A,0)),"Lotação não existe na aba cnpj",IF(B129="","Sem CNPJ na aba cnpj","OK"))</f>
        <v>OK</v>
      </c>
    </row>
    <row r="130" customFormat="false" ht="15" hidden="false" customHeight="false" outlineLevel="0" collapsed="false">
      <c r="A130" s="4" t="n">
        <f aca="false">sisgi!A130</f>
        <v>12300</v>
      </c>
      <c r="B130" s="5" t="str">
        <f aca="false">IFERROR(IF(INDEX(cnpj!$B:$B,MATCH(A130,cnpj!$A:$A,0))="","",INDEX(cnpj!$B:$B,MATCH(A130,cnpj!$A:$A,0))),"")</f>
        <v>03.178.543/0001-91</v>
      </c>
      <c r="C130" s="5" t="str">
        <f aca="false">IF(B130="","",RIGHT("00000000000000"&amp;SUBSTITUTE(SUBSTITUTE(SUBSTITUTE(SUBSTITUTE(B130,".",""),"/",""),"-","")," ",""),14))</f>
        <v>03178543000191</v>
      </c>
      <c r="D130" s="5" t="str">
        <f aca="false">IF(C130="","",MID(C130,1,2)&amp;"."&amp;MID(C130,3,3)&amp;"."&amp;MID(C130,6,3)&amp;"/"&amp;MID(C130,9,4)&amp;"-"&amp;MID(C130,13,2))</f>
        <v>03.178.543/0001-91</v>
      </c>
      <c r="E130" s="4" t="str">
        <f aca="false">IF(ISNA(MATCH(A130,cnpj!$A:$A,0)),"Lotação não existe na aba cnpj",IF(B130="","Sem CNPJ na aba cnpj","OK"))</f>
        <v>OK</v>
      </c>
    </row>
    <row r="131" customFormat="false" ht="15" hidden="false" customHeight="false" outlineLevel="0" collapsed="false">
      <c r="A131" s="4" t="n">
        <f aca="false">sisgi!A131</f>
        <v>12319</v>
      </c>
      <c r="B131" s="5" t="str">
        <f aca="false">IFERROR(IF(INDEX(cnpj!$B:$B,MATCH(A131,cnpj!$A:$A,0))="","",INDEX(cnpj!$B:$B,MATCH(A131,cnpj!$A:$A,0))),"")</f>
        <v>03.207.344/0001-64</v>
      </c>
      <c r="C131" s="5" t="str">
        <f aca="false">IF(B131="","",RIGHT("00000000000000"&amp;SUBSTITUTE(SUBSTITUTE(SUBSTITUTE(SUBSTITUTE(B131,".",""),"/",""),"-","")," ",""),14))</f>
        <v>03207344000164</v>
      </c>
      <c r="D131" s="5" t="str">
        <f aca="false">IF(C131="","",MID(C131,1,2)&amp;"."&amp;MID(C131,3,3)&amp;"."&amp;MID(C131,6,3)&amp;"/"&amp;MID(C131,9,4)&amp;"-"&amp;MID(C131,13,2))</f>
        <v>03.207.344/0001-64</v>
      </c>
      <c r="E131" s="4" t="str">
        <f aca="false">IF(ISNA(MATCH(A131,cnpj!$A:$A,0)),"Lotação não existe na aba cnpj",IF(B131="","Sem CNPJ na aba cnpj","OK"))</f>
        <v>OK</v>
      </c>
    </row>
    <row r="132" customFormat="false" ht="15" hidden="false" customHeight="false" outlineLevel="0" collapsed="false">
      <c r="A132" s="4" t="n">
        <f aca="false">sisgi!A132</f>
        <v>12327</v>
      </c>
      <c r="B132" s="5" t="str">
        <f aca="false">IFERROR(IF(INDEX(cnpj!$B:$B,MATCH(A132,cnpj!$A:$A,0))="","",INDEX(cnpj!$B:$B,MATCH(A132,cnpj!$A:$A,0))),"")</f>
        <v>02.498.082/0001-71</v>
      </c>
      <c r="C132" s="5" t="str">
        <f aca="false">IF(B132="","",RIGHT("00000000000000"&amp;SUBSTITUTE(SUBSTITUTE(SUBSTITUTE(SUBSTITUTE(B132,".",""),"/",""),"-","")," ",""),14))</f>
        <v>02498082000171</v>
      </c>
      <c r="D132" s="5" t="str">
        <f aca="false">IF(C132="","",MID(C132,1,2)&amp;"."&amp;MID(C132,3,3)&amp;"."&amp;MID(C132,6,3)&amp;"/"&amp;MID(C132,9,4)&amp;"-"&amp;MID(C132,13,2))</f>
        <v>02.498.082/0001-71</v>
      </c>
      <c r="E132" s="4" t="str">
        <f aca="false">IF(ISNA(MATCH(A132,cnpj!$A:$A,0)),"Lotação não existe na aba cnpj",IF(B132="","Sem CNPJ na aba cnpj","OK"))</f>
        <v>OK</v>
      </c>
    </row>
    <row r="133" customFormat="false" ht="15" hidden="false" customHeight="false" outlineLevel="0" collapsed="false">
      <c r="A133" s="4" t="n">
        <f aca="false">sisgi!A133</f>
        <v>12335</v>
      </c>
      <c r="B133" s="5" t="str">
        <f aca="false">IFERROR(IF(INDEX(cnpj!$B:$B,MATCH(A133,cnpj!$A:$A,0))="","",INDEX(cnpj!$B:$B,MATCH(A133,cnpj!$A:$A,0))),"")</f>
        <v>03.149.590/0001-07</v>
      </c>
      <c r="C133" s="5" t="str">
        <f aca="false">IF(B133="","",RIGHT("00000000000000"&amp;SUBSTITUTE(SUBSTITUTE(SUBSTITUTE(SUBSTITUTE(B133,".",""),"/",""),"-","")," ",""),14))</f>
        <v>03149590000107</v>
      </c>
      <c r="D133" s="5" t="str">
        <f aca="false">IF(C133="","",MID(C133,1,2)&amp;"."&amp;MID(C133,3,3)&amp;"."&amp;MID(C133,6,3)&amp;"/"&amp;MID(C133,9,4)&amp;"-"&amp;MID(C133,13,2))</f>
        <v>03.149.590/0001-07</v>
      </c>
      <c r="E133" s="4" t="str">
        <f aca="false">IF(ISNA(MATCH(A133,cnpj!$A:$A,0)),"Lotação não existe na aba cnpj",IF(B133="","Sem CNPJ na aba cnpj","OK"))</f>
        <v>OK</v>
      </c>
    </row>
    <row r="134" customFormat="false" ht="15" hidden="false" customHeight="false" outlineLevel="0" collapsed="false">
      <c r="A134" s="4" t="n">
        <f aca="false">sisgi!A134</f>
        <v>12378</v>
      </c>
      <c r="B134" s="5" t="str">
        <f aca="false">IFERROR(IF(INDEX(cnpj!$B:$B,MATCH(A134,cnpj!$A:$A,0))="","",INDEX(cnpj!$B:$B,MATCH(A134,cnpj!$A:$A,0))),"")</f>
        <v>01.578.056/0001-90</v>
      </c>
      <c r="C134" s="5" t="str">
        <f aca="false">IF(B134="","",RIGHT("00000000000000"&amp;SUBSTITUTE(SUBSTITUTE(SUBSTITUTE(SUBSTITUTE(B134,".",""),"/",""),"-","")," ",""),14))</f>
        <v>01578056000190</v>
      </c>
      <c r="D134" s="5" t="str">
        <f aca="false">IF(C134="","",MID(C134,1,2)&amp;"."&amp;MID(C134,3,3)&amp;"."&amp;MID(C134,6,3)&amp;"/"&amp;MID(C134,9,4)&amp;"-"&amp;MID(C134,13,2))</f>
        <v>01.578.056/0001-90</v>
      </c>
      <c r="E134" s="4" t="str">
        <f aca="false">IF(ISNA(MATCH(A134,cnpj!$A:$A,0)),"Lotação não existe na aba cnpj",IF(B134="","Sem CNPJ na aba cnpj","OK"))</f>
        <v>OK</v>
      </c>
    </row>
    <row r="135" customFormat="false" ht="15" hidden="false" customHeight="false" outlineLevel="0" collapsed="false">
      <c r="A135" s="4" t="n">
        <f aca="false">sisgi!A135</f>
        <v>12386</v>
      </c>
      <c r="B135" s="5" t="str">
        <f aca="false">IFERROR(IF(INDEX(cnpj!$B:$B,MATCH(A135,cnpj!$A:$A,0))="","",INDEX(cnpj!$B:$B,MATCH(A135,cnpj!$A:$A,0))),"")</f>
        <v>05.327.231/0001-28</v>
      </c>
      <c r="C135" s="5" t="str">
        <f aca="false">IF(B135="","",RIGHT("00000000000000"&amp;SUBSTITUTE(SUBSTITUTE(SUBSTITUTE(SUBSTITUTE(B135,".",""),"/",""),"-","")," ",""),14))</f>
        <v>05327231000128</v>
      </c>
      <c r="D135" s="5" t="str">
        <f aca="false">IF(C135="","",MID(C135,1,2)&amp;"."&amp;MID(C135,3,3)&amp;"."&amp;MID(C135,6,3)&amp;"/"&amp;MID(C135,9,4)&amp;"-"&amp;MID(C135,13,2))</f>
        <v>05.327.231/0001-28</v>
      </c>
      <c r="E135" s="4" t="str">
        <f aca="false">IF(ISNA(MATCH(A135,cnpj!$A:$A,0)),"Lotação não existe na aba cnpj",IF(B135="","Sem CNPJ na aba cnpj","OK"))</f>
        <v>OK</v>
      </c>
    </row>
    <row r="136" customFormat="false" ht="15" hidden="false" customHeight="false" outlineLevel="0" collapsed="false">
      <c r="A136" s="4" t="n">
        <f aca="false">sisgi!A136</f>
        <v>12394</v>
      </c>
      <c r="B136" s="5" t="str">
        <f aca="false">IFERROR(IF(INDEX(cnpj!$B:$B,MATCH(A136,cnpj!$A:$A,0))="","",INDEX(cnpj!$B:$B,MATCH(A136,cnpj!$A:$A,0))),"")</f>
        <v>02.471.499/0001-40</v>
      </c>
      <c r="C136" s="5" t="str">
        <f aca="false">IF(B136="","",RIGHT("00000000000000"&amp;SUBSTITUTE(SUBSTITUTE(SUBSTITUTE(SUBSTITUTE(B136,".",""),"/",""),"-","")," ",""),14))</f>
        <v>02471499000140</v>
      </c>
      <c r="D136" s="5" t="str">
        <f aca="false">IF(C136="","",MID(C136,1,2)&amp;"."&amp;MID(C136,3,3)&amp;"."&amp;MID(C136,6,3)&amp;"/"&amp;MID(C136,9,4)&amp;"-"&amp;MID(C136,13,2))</f>
        <v>02.471.499/0001-40</v>
      </c>
      <c r="E136" s="4" t="str">
        <f aca="false">IF(ISNA(MATCH(A136,cnpj!$A:$A,0)),"Lotação não existe na aba cnpj",IF(B136="","Sem CNPJ na aba cnpj","OK"))</f>
        <v>OK</v>
      </c>
    </row>
    <row r="137" customFormat="false" ht="15" hidden="false" customHeight="false" outlineLevel="0" collapsed="false">
      <c r="A137" s="4" t="n">
        <f aca="false">sisgi!A137</f>
        <v>12440</v>
      </c>
      <c r="B137" s="5" t="str">
        <f aca="false">IFERROR(IF(INDEX(cnpj!$B:$B,MATCH(A137,cnpj!$A:$A,0))="","",INDEX(cnpj!$B:$B,MATCH(A137,cnpj!$A:$A,0))),"")</f>
        <v>02.484.867/0001-95</v>
      </c>
      <c r="C137" s="5" t="str">
        <f aca="false">IF(B137="","",RIGHT("00000000000000"&amp;SUBSTITUTE(SUBSTITUTE(SUBSTITUTE(SUBSTITUTE(B137,".",""),"/",""),"-","")," ",""),14))</f>
        <v>02484867000195</v>
      </c>
      <c r="D137" s="5" t="str">
        <f aca="false">IF(C137="","",MID(C137,1,2)&amp;"."&amp;MID(C137,3,3)&amp;"."&amp;MID(C137,6,3)&amp;"/"&amp;MID(C137,9,4)&amp;"-"&amp;MID(C137,13,2))</f>
        <v>02.484.867/0001-95</v>
      </c>
      <c r="E137" s="4" t="str">
        <f aca="false">IF(ISNA(MATCH(A137,cnpj!$A:$A,0)),"Lotação não existe na aba cnpj",IF(B137="","Sem CNPJ na aba cnpj","OK"))</f>
        <v>OK</v>
      </c>
    </row>
    <row r="138" customFormat="false" ht="15" hidden="false" customHeight="false" outlineLevel="0" collapsed="false">
      <c r="A138" s="4" t="n">
        <f aca="false">sisgi!A138</f>
        <v>12475</v>
      </c>
      <c r="B138" s="5" t="str">
        <f aca="false">IFERROR(IF(INDEX(cnpj!$B:$B,MATCH(A138,cnpj!$A:$A,0))="","",INDEX(cnpj!$B:$B,MATCH(A138,cnpj!$A:$A,0))),"")</f>
        <v>01.958.474/0001-03</v>
      </c>
      <c r="C138" s="5" t="str">
        <f aca="false">IF(B138="","",RIGHT("00000000000000"&amp;SUBSTITUTE(SUBSTITUTE(SUBSTITUTE(SUBSTITUTE(B138,".",""),"/",""),"-","")," ",""),14))</f>
        <v>01958474000103</v>
      </c>
      <c r="D138" s="5" t="str">
        <f aca="false">IF(C138="","",MID(C138,1,2)&amp;"."&amp;MID(C138,3,3)&amp;"."&amp;MID(C138,6,3)&amp;"/"&amp;MID(C138,9,4)&amp;"-"&amp;MID(C138,13,2))</f>
        <v>01.958.474/0001-03</v>
      </c>
      <c r="E138" s="4" t="str">
        <f aca="false">IF(ISNA(MATCH(A138,cnpj!$A:$A,0)),"Lotação não existe na aba cnpj",IF(B138="","Sem CNPJ na aba cnpj","OK"))</f>
        <v>OK</v>
      </c>
    </row>
    <row r="139" customFormat="false" ht="15" hidden="false" customHeight="false" outlineLevel="0" collapsed="false">
      <c r="A139" s="4" t="n">
        <f aca="false">sisgi!A139</f>
        <v>12505</v>
      </c>
      <c r="B139" s="5" t="str">
        <f aca="false">IFERROR(IF(INDEX(cnpj!$B:$B,MATCH(A139,cnpj!$A:$A,0))="","",INDEX(cnpj!$B:$B,MATCH(A139,cnpj!$A:$A,0))),"")</f>
        <v>02.165.968/0001-01</v>
      </c>
      <c r="C139" s="5" t="str">
        <f aca="false">IF(B139="","",RIGHT("00000000000000"&amp;SUBSTITUTE(SUBSTITUTE(SUBSTITUTE(SUBSTITUTE(B139,".",""),"/",""),"-","")," ",""),14))</f>
        <v>02165968000101</v>
      </c>
      <c r="D139" s="5" t="str">
        <f aca="false">IF(C139="","",MID(C139,1,2)&amp;"."&amp;MID(C139,3,3)&amp;"."&amp;MID(C139,6,3)&amp;"/"&amp;MID(C139,9,4)&amp;"-"&amp;MID(C139,13,2))</f>
        <v>02.165.968/0001-01</v>
      </c>
      <c r="E139" s="4" t="str">
        <f aca="false">IF(ISNA(MATCH(A139,cnpj!$A:$A,0)),"Lotação não existe na aba cnpj",IF(B139="","Sem CNPJ na aba cnpj","OK"))</f>
        <v>OK</v>
      </c>
    </row>
    <row r="140" customFormat="false" ht="15" hidden="false" customHeight="false" outlineLevel="0" collapsed="false">
      <c r="A140" s="4" t="n">
        <f aca="false">sisgi!A140</f>
        <v>12513</v>
      </c>
      <c r="B140" s="5" t="str">
        <f aca="false">IFERROR(IF(INDEX(cnpj!$B:$B,MATCH(A140,cnpj!$A:$A,0))="","",INDEX(cnpj!$B:$B,MATCH(A140,cnpj!$A:$A,0))),"")</f>
        <v>02.006.239/0001-02</v>
      </c>
      <c r="C140" s="5" t="str">
        <f aca="false">IF(B140="","",RIGHT("00000000000000"&amp;SUBSTITUTE(SUBSTITUTE(SUBSTITUTE(SUBSTITUTE(B140,".",""),"/",""),"-","")," ",""),14))</f>
        <v>02006239000102</v>
      </c>
      <c r="D140" s="5" t="str">
        <f aca="false">IF(C140="","",MID(C140,1,2)&amp;"."&amp;MID(C140,3,3)&amp;"."&amp;MID(C140,6,3)&amp;"/"&amp;MID(C140,9,4)&amp;"-"&amp;MID(C140,13,2))</f>
        <v>02.006.239/0001-02</v>
      </c>
      <c r="E140" s="4" t="str">
        <f aca="false">IF(ISNA(MATCH(A140,cnpj!$A:$A,0)),"Lotação não existe na aba cnpj",IF(B140="","Sem CNPJ na aba cnpj","OK"))</f>
        <v>OK</v>
      </c>
    </row>
    <row r="141" customFormat="false" ht="15" hidden="false" customHeight="false" outlineLevel="0" collapsed="false">
      <c r="A141" s="4" t="n">
        <f aca="false">sisgi!A141</f>
        <v>12548</v>
      </c>
      <c r="B141" s="5" t="str">
        <f aca="false">IFERROR(IF(INDEX(cnpj!$B:$B,MATCH(A141,cnpj!$A:$A,0))="","",INDEX(cnpj!$B:$B,MATCH(A141,cnpj!$A:$A,0))),"")</f>
        <v>02.283.817/0001-40</v>
      </c>
      <c r="C141" s="5" t="str">
        <f aca="false">IF(B141="","",RIGHT("00000000000000"&amp;SUBSTITUTE(SUBSTITUTE(SUBSTITUTE(SUBSTITUTE(B141,".",""),"/",""),"-","")," ",""),14))</f>
        <v>02283817000140</v>
      </c>
      <c r="D141" s="5" t="str">
        <f aca="false">IF(C141="","",MID(C141,1,2)&amp;"."&amp;MID(C141,3,3)&amp;"."&amp;MID(C141,6,3)&amp;"/"&amp;MID(C141,9,4)&amp;"-"&amp;MID(C141,13,2))</f>
        <v>02.283.817/0001-40</v>
      </c>
      <c r="E141" s="4" t="str">
        <f aca="false">IF(ISNA(MATCH(A141,cnpj!$A:$A,0)),"Lotação não existe na aba cnpj",IF(B141="","Sem CNPJ na aba cnpj","OK"))</f>
        <v>OK</v>
      </c>
    </row>
    <row r="142" customFormat="false" ht="15" hidden="false" customHeight="false" outlineLevel="0" collapsed="false">
      <c r="A142" s="4" t="n">
        <f aca="false">sisgi!A142</f>
        <v>12556</v>
      </c>
      <c r="B142" s="5" t="str">
        <f aca="false">IFERROR(IF(INDEX(cnpj!$B:$B,MATCH(A142,cnpj!$A:$A,0))="","",INDEX(cnpj!$B:$B,MATCH(A142,cnpj!$A:$A,0))),"")</f>
        <v>02.558.838/0001-20</v>
      </c>
      <c r="C142" s="5" t="str">
        <f aca="false">IF(B142="","",RIGHT("00000000000000"&amp;SUBSTITUTE(SUBSTITUTE(SUBSTITUTE(SUBSTITUTE(B142,".",""),"/",""),"-","")," ",""),14))</f>
        <v>02558838000120</v>
      </c>
      <c r="D142" s="5" t="str">
        <f aca="false">IF(C142="","",MID(C142,1,2)&amp;"."&amp;MID(C142,3,3)&amp;"."&amp;MID(C142,6,3)&amp;"/"&amp;MID(C142,9,4)&amp;"-"&amp;MID(C142,13,2))</f>
        <v>02.558.838/0001-20</v>
      </c>
      <c r="E142" s="4" t="str">
        <f aca="false">IF(ISNA(MATCH(A142,cnpj!$A:$A,0)),"Lotação não existe na aba cnpj",IF(B142="","Sem CNPJ na aba cnpj","OK"))</f>
        <v>OK</v>
      </c>
    </row>
    <row r="143" customFormat="false" ht="15" hidden="false" customHeight="false" outlineLevel="0" collapsed="false">
      <c r="A143" s="4" t="n">
        <f aca="false">sisgi!A143</f>
        <v>12564</v>
      </c>
      <c r="B143" s="5" t="str">
        <f aca="false">IFERROR(IF(INDEX(cnpj!$B:$B,MATCH(A143,cnpj!$A:$A,0))="","",INDEX(cnpj!$B:$B,MATCH(A143,cnpj!$A:$A,0))),"")</f>
        <v>03.236.726/0001-16</v>
      </c>
      <c r="C143" s="5" t="str">
        <f aca="false">IF(B143="","",RIGHT("00000000000000"&amp;SUBSTITUTE(SUBSTITUTE(SUBSTITUTE(SUBSTITUTE(B143,".",""),"/",""),"-","")," ",""),14))</f>
        <v>03236726000116</v>
      </c>
      <c r="D143" s="5" t="str">
        <f aca="false">IF(C143="","",MID(C143,1,2)&amp;"."&amp;MID(C143,3,3)&amp;"."&amp;MID(C143,6,3)&amp;"/"&amp;MID(C143,9,4)&amp;"-"&amp;MID(C143,13,2))</f>
        <v>03.236.726/0001-16</v>
      </c>
      <c r="E143" s="4" t="str">
        <f aca="false">IF(ISNA(MATCH(A143,cnpj!$A:$A,0)),"Lotação não existe na aba cnpj",IF(B143="","Sem CNPJ na aba cnpj","OK"))</f>
        <v>OK</v>
      </c>
    </row>
    <row r="144" customFormat="false" ht="15" hidden="false" customHeight="false" outlineLevel="0" collapsed="false">
      <c r="A144" s="4" t="n">
        <f aca="false">sisgi!A144</f>
        <v>12580</v>
      </c>
      <c r="B144" s="5" t="str">
        <f aca="false">IFERROR(IF(INDEX(cnpj!$B:$B,MATCH(A144,cnpj!$A:$A,0))="","",INDEX(cnpj!$B:$B,MATCH(A144,cnpj!$A:$A,0))),"")</f>
        <v>02.494.149/0001-08</v>
      </c>
      <c r="C144" s="5" t="str">
        <f aca="false">IF(B144="","",RIGHT("00000000000000"&amp;SUBSTITUTE(SUBSTITUTE(SUBSTITUTE(SUBSTITUTE(B144,".",""),"/",""),"-","")," ",""),14))</f>
        <v>02494149000108</v>
      </c>
      <c r="D144" s="5" t="str">
        <f aca="false">IF(C144="","",MID(C144,1,2)&amp;"."&amp;MID(C144,3,3)&amp;"."&amp;MID(C144,6,3)&amp;"/"&amp;MID(C144,9,4)&amp;"-"&amp;MID(C144,13,2))</f>
        <v>02.494.149/0001-08</v>
      </c>
      <c r="E144" s="4" t="str">
        <f aca="false">IF(ISNA(MATCH(A144,cnpj!$A:$A,0)),"Lotação não existe na aba cnpj",IF(B144="","Sem CNPJ na aba cnpj","OK"))</f>
        <v>OK</v>
      </c>
    </row>
    <row r="145" customFormat="false" ht="15" hidden="false" customHeight="false" outlineLevel="0" collapsed="false">
      <c r="A145" s="4" t="n">
        <f aca="false">sisgi!A145</f>
        <v>12610</v>
      </c>
      <c r="B145" s="5" t="str">
        <f aca="false">IFERROR(IF(INDEX(cnpj!$B:$B,MATCH(A145,cnpj!$A:$A,0))="","",INDEX(cnpj!$B:$B,MATCH(A145,cnpj!$A:$A,0))),"")</f>
        <v>04.197.258/0001-80</v>
      </c>
      <c r="C145" s="5" t="str">
        <f aca="false">IF(B145="","",RIGHT("00000000000000"&amp;SUBSTITUTE(SUBSTITUTE(SUBSTITUTE(SUBSTITUTE(B145,".",""),"/",""),"-","")," ",""),14))</f>
        <v>04197258000180</v>
      </c>
      <c r="D145" s="5" t="str">
        <f aca="false">IF(C145="","",MID(C145,1,2)&amp;"."&amp;MID(C145,3,3)&amp;"."&amp;MID(C145,6,3)&amp;"/"&amp;MID(C145,9,4)&amp;"-"&amp;MID(C145,13,2))</f>
        <v>04.197.258/0001-80</v>
      </c>
      <c r="E145" s="4" t="str">
        <f aca="false">IF(ISNA(MATCH(A145,cnpj!$A:$A,0)),"Lotação não existe na aba cnpj",IF(B145="","Sem CNPJ na aba cnpj","OK"))</f>
        <v>OK</v>
      </c>
    </row>
    <row r="146" customFormat="false" ht="15" hidden="false" customHeight="false" outlineLevel="0" collapsed="false">
      <c r="A146" s="4" t="n">
        <f aca="false">sisgi!A146</f>
        <v>12629</v>
      </c>
      <c r="B146" s="5" t="str">
        <f aca="false">IFERROR(IF(INDEX(cnpj!$B:$B,MATCH(A146,cnpj!$A:$A,0))="","",INDEX(cnpj!$B:$B,MATCH(A146,cnpj!$A:$A,0))),"")</f>
        <v>03.409.255/0001-09</v>
      </c>
      <c r="C146" s="5" t="str">
        <f aca="false">IF(B146="","",RIGHT("00000000000000"&amp;SUBSTITUTE(SUBSTITUTE(SUBSTITUTE(SUBSTITUTE(B146,".",""),"/",""),"-","")," ",""),14))</f>
        <v>03409255000109</v>
      </c>
      <c r="D146" s="5" t="str">
        <f aca="false">IF(C146="","",MID(C146,1,2)&amp;"."&amp;MID(C146,3,3)&amp;"."&amp;MID(C146,6,3)&amp;"/"&amp;MID(C146,9,4)&amp;"-"&amp;MID(C146,13,2))</f>
        <v>03.409.255/0001-09</v>
      </c>
      <c r="E146" s="4" t="str">
        <f aca="false">IF(ISNA(MATCH(A146,cnpj!$A:$A,0)),"Lotação não existe na aba cnpj",IF(B146="","Sem CNPJ na aba cnpj","OK"))</f>
        <v>OK</v>
      </c>
    </row>
    <row r="147" customFormat="false" ht="15" hidden="false" customHeight="false" outlineLevel="0" collapsed="false">
      <c r="A147" s="4" t="n">
        <f aca="false">sisgi!A147</f>
        <v>12670</v>
      </c>
      <c r="B147" s="5" t="str">
        <f aca="false">IFERROR(IF(INDEX(cnpj!$B:$B,MATCH(A147,cnpj!$A:$A,0))="","",INDEX(cnpj!$B:$B,MATCH(A147,cnpj!$A:$A,0))),"")</f>
        <v>01.552.921/0001-20</v>
      </c>
      <c r="C147" s="5" t="str">
        <f aca="false">IF(B147="","",RIGHT("00000000000000"&amp;SUBSTITUTE(SUBSTITUTE(SUBSTITUTE(SUBSTITUTE(B147,".",""),"/",""),"-","")," ",""),14))</f>
        <v>01552921000120</v>
      </c>
      <c r="D147" s="5" t="str">
        <f aca="false">IF(C147="","",MID(C147,1,2)&amp;"."&amp;MID(C147,3,3)&amp;"."&amp;MID(C147,6,3)&amp;"/"&amp;MID(C147,9,4)&amp;"-"&amp;MID(C147,13,2))</f>
        <v>01.552.921/0001-20</v>
      </c>
      <c r="E147" s="4" t="str">
        <f aca="false">IF(ISNA(MATCH(A147,cnpj!$A:$A,0)),"Lotação não existe na aba cnpj",IF(B147="","Sem CNPJ na aba cnpj","OK"))</f>
        <v>OK</v>
      </c>
    </row>
    <row r="148" customFormat="false" ht="15" hidden="false" customHeight="false" outlineLevel="0" collapsed="false">
      <c r="A148" s="4" t="n">
        <f aca="false">sisgi!A148</f>
        <v>12688</v>
      </c>
      <c r="B148" s="5" t="str">
        <f aca="false">IFERROR(IF(INDEX(cnpj!$B:$B,MATCH(A148,cnpj!$A:$A,0))="","",INDEX(cnpj!$B:$B,MATCH(A148,cnpj!$A:$A,0))),"")</f>
        <v>01.552.922/0001-74</v>
      </c>
      <c r="C148" s="5" t="str">
        <f aca="false">IF(B148="","",RIGHT("00000000000000"&amp;SUBSTITUTE(SUBSTITUTE(SUBSTITUTE(SUBSTITUTE(B148,".",""),"/",""),"-","")," ",""),14))</f>
        <v>01552922000174</v>
      </c>
      <c r="D148" s="5" t="str">
        <f aca="false">IF(C148="","",MID(C148,1,2)&amp;"."&amp;MID(C148,3,3)&amp;"."&amp;MID(C148,6,3)&amp;"/"&amp;MID(C148,9,4)&amp;"-"&amp;MID(C148,13,2))</f>
        <v>01.552.922/0001-74</v>
      </c>
      <c r="E148" s="4" t="str">
        <f aca="false">IF(ISNA(MATCH(A148,cnpj!$A:$A,0)),"Lotação não existe na aba cnpj",IF(B148="","Sem CNPJ na aba cnpj","OK"))</f>
        <v>OK</v>
      </c>
    </row>
    <row r="149" customFormat="false" ht="15" hidden="false" customHeight="false" outlineLevel="0" collapsed="false">
      <c r="A149" s="4" t="n">
        <f aca="false">sisgi!A149</f>
        <v>12700</v>
      </c>
      <c r="B149" s="5" t="str">
        <f aca="false">IFERROR(IF(INDEX(cnpj!$B:$B,MATCH(A149,cnpj!$A:$A,0))="","",INDEX(cnpj!$B:$B,MATCH(A149,cnpj!$A:$A,0))),"")</f>
        <v>01.898.664/0001-82</v>
      </c>
      <c r="C149" s="5" t="str">
        <f aca="false">IF(B149="","",RIGHT("00000000000000"&amp;SUBSTITUTE(SUBSTITUTE(SUBSTITUTE(SUBSTITUTE(B149,".",""),"/",""),"-","")," ",""),14))</f>
        <v>01898664000182</v>
      </c>
      <c r="D149" s="5" t="str">
        <f aca="false">IF(C149="","",MID(C149,1,2)&amp;"."&amp;MID(C149,3,3)&amp;"."&amp;MID(C149,6,3)&amp;"/"&amp;MID(C149,9,4)&amp;"-"&amp;MID(C149,13,2))</f>
        <v>01.898.664/0001-82</v>
      </c>
      <c r="E149" s="4" t="str">
        <f aca="false">IF(ISNA(MATCH(A149,cnpj!$A:$A,0)),"Lotação não existe na aba cnpj",IF(B149="","Sem CNPJ na aba cnpj","OK"))</f>
        <v>OK</v>
      </c>
    </row>
    <row r="150" customFormat="false" ht="15" hidden="false" customHeight="false" outlineLevel="0" collapsed="false">
      <c r="A150" s="4" t="n">
        <f aca="false">sisgi!A150</f>
        <v>12718</v>
      </c>
      <c r="B150" s="5" t="str">
        <f aca="false">IFERROR(IF(INDEX(cnpj!$B:$B,MATCH(A150,cnpj!$A:$A,0))="","",INDEX(cnpj!$B:$B,MATCH(A150,cnpj!$A:$A,0))),"")</f>
        <v>01.561.322/0001-72</v>
      </c>
      <c r="C150" s="5" t="str">
        <f aca="false">IF(B150="","",RIGHT("00000000000000"&amp;SUBSTITUTE(SUBSTITUTE(SUBSTITUTE(SUBSTITUTE(B150,".",""),"/",""),"-","")," ",""),14))</f>
        <v>01561322000172</v>
      </c>
      <c r="D150" s="5" t="str">
        <f aca="false">IF(C150="","",MID(C150,1,2)&amp;"."&amp;MID(C150,3,3)&amp;"."&amp;MID(C150,6,3)&amp;"/"&amp;MID(C150,9,4)&amp;"-"&amp;MID(C150,13,2))</f>
        <v>01.561.322/0001-72</v>
      </c>
      <c r="E150" s="4" t="str">
        <f aca="false">IF(ISNA(MATCH(A150,cnpj!$A:$A,0)),"Lotação não existe na aba cnpj",IF(B150="","Sem CNPJ na aba cnpj","OK"))</f>
        <v>OK</v>
      </c>
    </row>
    <row r="151" customFormat="false" ht="15" hidden="false" customHeight="false" outlineLevel="0" collapsed="false">
      <c r="A151" s="4" t="n">
        <f aca="false">sisgi!A151</f>
        <v>12726</v>
      </c>
      <c r="B151" s="5" t="str">
        <f aca="false">IFERROR(IF(INDEX(cnpj!$B:$B,MATCH(A151,cnpj!$A:$A,0))="","",INDEX(cnpj!$B:$B,MATCH(A151,cnpj!$A:$A,0))),"")</f>
        <v>01.556.350/0001-00</v>
      </c>
      <c r="C151" s="5" t="str">
        <f aca="false">IF(B151="","",RIGHT("00000000000000"&amp;SUBSTITUTE(SUBSTITUTE(SUBSTITUTE(SUBSTITUTE(B151,".",""),"/",""),"-","")," ",""),14))</f>
        <v>01556350000100</v>
      </c>
      <c r="D151" s="5" t="str">
        <f aca="false">IF(C151="","",MID(C151,1,2)&amp;"."&amp;MID(C151,3,3)&amp;"."&amp;MID(C151,6,3)&amp;"/"&amp;MID(C151,9,4)&amp;"-"&amp;MID(C151,13,2))</f>
        <v>01.556.350/0001-00</v>
      </c>
      <c r="E151" s="4" t="str">
        <f aca="false">IF(ISNA(MATCH(A151,cnpj!$A:$A,0)),"Lotação não existe na aba cnpj",IF(B151="","Sem CNPJ na aba cnpj","OK"))</f>
        <v>OK</v>
      </c>
    </row>
    <row r="152" customFormat="false" ht="15" hidden="false" customHeight="false" outlineLevel="0" collapsed="false">
      <c r="A152" s="4" t="n">
        <f aca="false">sisgi!A152</f>
        <v>12742</v>
      </c>
      <c r="B152" s="5" t="str">
        <f aca="false">IFERROR(IF(INDEX(cnpj!$B:$B,MATCH(A152,cnpj!$A:$A,0))="","",INDEX(cnpj!$B:$B,MATCH(A152,cnpj!$A:$A,0))),"")</f>
        <v>01.544.359/0001-92</v>
      </c>
      <c r="C152" s="5" t="str">
        <f aca="false">IF(B152="","",RIGHT("00000000000000"&amp;SUBSTITUTE(SUBSTITUTE(SUBSTITUTE(SUBSTITUTE(B152,".",""),"/",""),"-","")," ",""),14))</f>
        <v>01544359000192</v>
      </c>
      <c r="D152" s="5" t="str">
        <f aca="false">IF(C152="","",MID(C152,1,2)&amp;"."&amp;MID(C152,3,3)&amp;"."&amp;MID(C152,6,3)&amp;"/"&amp;MID(C152,9,4)&amp;"-"&amp;MID(C152,13,2))</f>
        <v>01.544.359/0001-92</v>
      </c>
      <c r="E152" s="4" t="str">
        <f aca="false">IF(ISNA(MATCH(A152,cnpj!$A:$A,0)),"Lotação não existe na aba cnpj",IF(B152="","Sem CNPJ na aba cnpj","OK"))</f>
        <v>OK</v>
      </c>
    </row>
    <row r="153" customFormat="false" ht="15" hidden="false" customHeight="false" outlineLevel="0" collapsed="false">
      <c r="A153" s="4" t="n">
        <f aca="false">sisgi!A153</f>
        <v>12785</v>
      </c>
      <c r="B153" s="5" t="str">
        <f aca="false">IFERROR(IF(INDEX(cnpj!$B:$B,MATCH(A153,cnpj!$A:$A,0))="","",INDEX(cnpj!$B:$B,MATCH(A153,cnpj!$A:$A,0))),"")</f>
        <v>00.791.053/0001-78</v>
      </c>
      <c r="C153" s="5" t="str">
        <f aca="false">IF(B153="","",RIGHT("00000000000000"&amp;SUBSTITUTE(SUBSTITUTE(SUBSTITUTE(SUBSTITUTE(B153,".",""),"/",""),"-","")," ",""),14))</f>
        <v>00791053000178</v>
      </c>
      <c r="D153" s="5" t="str">
        <f aca="false">IF(C153="","",MID(C153,1,2)&amp;"."&amp;MID(C153,3,3)&amp;"."&amp;MID(C153,6,3)&amp;"/"&amp;MID(C153,9,4)&amp;"-"&amp;MID(C153,13,2))</f>
        <v>00.791.053/0001-78</v>
      </c>
      <c r="E153" s="4" t="str">
        <f aca="false">IF(ISNA(MATCH(A153,cnpj!$A:$A,0)),"Lotação não existe na aba cnpj",IF(B153="","Sem CNPJ na aba cnpj","OK"))</f>
        <v>OK</v>
      </c>
    </row>
    <row r="154" customFormat="false" ht="15" hidden="false" customHeight="false" outlineLevel="0" collapsed="false">
      <c r="A154" s="4" t="n">
        <f aca="false">sisgi!A154</f>
        <v>12815</v>
      </c>
      <c r="B154" s="5" t="str">
        <f aca="false">IFERROR(IF(INDEX(cnpj!$B:$B,MATCH(A154,cnpj!$A:$A,0))="","",INDEX(cnpj!$B:$B,MATCH(A154,cnpj!$A:$A,0))),"")</f>
        <v>03.160.612/0001-30</v>
      </c>
      <c r="C154" s="5" t="str">
        <f aca="false">IF(B154="","",RIGHT("00000000000000"&amp;SUBSTITUTE(SUBSTITUTE(SUBSTITUTE(SUBSTITUTE(B154,".",""),"/",""),"-","")," ",""),14))</f>
        <v>03160612000130</v>
      </c>
      <c r="D154" s="5" t="str">
        <f aca="false">IF(C154="","",MID(C154,1,2)&amp;"."&amp;MID(C154,3,3)&amp;"."&amp;MID(C154,6,3)&amp;"/"&amp;MID(C154,9,4)&amp;"-"&amp;MID(C154,13,2))</f>
        <v>03.160.612/0001-30</v>
      </c>
      <c r="E154" s="4" t="str">
        <f aca="false">IF(ISNA(MATCH(A154,cnpj!$A:$A,0)),"Lotação não existe na aba cnpj",IF(B154="","Sem CNPJ na aba cnpj","OK"))</f>
        <v>OK</v>
      </c>
    </row>
    <row r="155" customFormat="false" ht="15" hidden="false" customHeight="false" outlineLevel="0" collapsed="false">
      <c r="A155" s="4" t="n">
        <f aca="false">sisgi!A155</f>
        <v>12831</v>
      </c>
      <c r="B155" s="5" t="str">
        <f aca="false">IFERROR(IF(INDEX(cnpj!$B:$B,MATCH(A155,cnpj!$A:$A,0))="","",INDEX(cnpj!$B:$B,MATCH(A155,cnpj!$A:$A,0))),"")</f>
        <v>03.070.697/0001-65</v>
      </c>
      <c r="C155" s="5" t="str">
        <f aca="false">IF(B155="","",RIGHT("00000000000000"&amp;SUBSTITUTE(SUBSTITUTE(SUBSTITUTE(SUBSTITUTE(B155,".",""),"/",""),"-","")," ",""),14))</f>
        <v>03070697000165</v>
      </c>
      <c r="D155" s="5" t="str">
        <f aca="false">IF(C155="","",MID(C155,1,2)&amp;"."&amp;MID(C155,3,3)&amp;"."&amp;MID(C155,6,3)&amp;"/"&amp;MID(C155,9,4)&amp;"-"&amp;MID(C155,13,2))</f>
        <v>03.070.697/0001-65</v>
      </c>
      <c r="E155" s="4" t="str">
        <f aca="false">IF(ISNA(MATCH(A155,cnpj!$A:$A,0)),"Lotação não existe na aba cnpj",IF(B155="","Sem CNPJ na aba cnpj","OK"))</f>
        <v>OK</v>
      </c>
    </row>
    <row r="156" customFormat="false" ht="15" hidden="false" customHeight="false" outlineLevel="0" collapsed="false">
      <c r="A156" s="4" t="n">
        <f aca="false">sisgi!A156</f>
        <v>12866</v>
      </c>
      <c r="B156" s="5" t="str">
        <f aca="false">IFERROR(IF(INDEX(cnpj!$B:$B,MATCH(A156,cnpj!$A:$A,0))="","",INDEX(cnpj!$B:$B,MATCH(A156,cnpj!$A:$A,0))),"")</f>
        <v>02.566.839/0001-17</v>
      </c>
      <c r="C156" s="5" t="str">
        <f aca="false">IF(B156="","",RIGHT("00000000000000"&amp;SUBSTITUTE(SUBSTITUTE(SUBSTITUTE(SUBSTITUTE(B156,".",""),"/",""),"-","")," ",""),14))</f>
        <v>02566839000117</v>
      </c>
      <c r="D156" s="5" t="str">
        <f aca="false">IF(C156="","",MID(C156,1,2)&amp;"."&amp;MID(C156,3,3)&amp;"."&amp;MID(C156,6,3)&amp;"/"&amp;MID(C156,9,4)&amp;"-"&amp;MID(C156,13,2))</f>
        <v>02.566.839/0001-17</v>
      </c>
      <c r="E156" s="4" t="str">
        <f aca="false">IF(ISNA(MATCH(A156,cnpj!$A:$A,0)),"Lotação não existe na aba cnpj",IF(B156="","Sem CNPJ na aba cnpj","OK"))</f>
        <v>OK</v>
      </c>
    </row>
    <row r="157" customFormat="false" ht="15" hidden="false" customHeight="false" outlineLevel="0" collapsed="false">
      <c r="A157" s="4" t="n">
        <f aca="false">sisgi!A157</f>
        <v>12882</v>
      </c>
      <c r="B157" s="5" t="str">
        <f aca="false">IFERROR(IF(INDEX(cnpj!$B:$B,MATCH(A157,cnpj!$A:$A,0))="","",INDEX(cnpj!$B:$B,MATCH(A157,cnpj!$A:$A,0))),"")</f>
        <v>02.342.429/0001-92</v>
      </c>
      <c r="C157" s="5" t="str">
        <f aca="false">IF(B157="","",RIGHT("00000000000000"&amp;SUBSTITUTE(SUBSTITUTE(SUBSTITUTE(SUBSTITUTE(B157,".",""),"/",""),"-","")," ",""),14))</f>
        <v>02342429000192</v>
      </c>
      <c r="D157" s="5" t="str">
        <f aca="false">IF(C157="","",MID(C157,1,2)&amp;"."&amp;MID(C157,3,3)&amp;"."&amp;MID(C157,6,3)&amp;"/"&amp;MID(C157,9,4)&amp;"-"&amp;MID(C157,13,2))</f>
        <v>02.342.429/0001-92</v>
      </c>
      <c r="E157" s="4" t="str">
        <f aca="false">IF(ISNA(MATCH(A157,cnpj!$A:$A,0)),"Lotação não existe na aba cnpj",IF(B157="","Sem CNPJ na aba cnpj","OK"))</f>
        <v>OK</v>
      </c>
    </row>
    <row r="158" customFormat="false" ht="15" hidden="false" customHeight="false" outlineLevel="0" collapsed="false">
      <c r="A158" s="4" t="n">
        <f aca="false">sisgi!A158</f>
        <v>12890</v>
      </c>
      <c r="B158" s="5" t="str">
        <f aca="false">IFERROR(IF(INDEX(cnpj!$B:$B,MATCH(A158,cnpj!$A:$A,0))="","",INDEX(cnpj!$B:$B,MATCH(A158,cnpj!$A:$A,0))),"")</f>
        <v>02.342.428/0001-48</v>
      </c>
      <c r="C158" s="5" t="str">
        <f aca="false">IF(B158="","",RIGHT("00000000000000"&amp;SUBSTITUTE(SUBSTITUTE(SUBSTITUTE(SUBSTITUTE(B158,".",""),"/",""),"-","")," ",""),14))</f>
        <v>02342428000148</v>
      </c>
      <c r="D158" s="5" t="str">
        <f aca="false">IF(C158="","",MID(C158,1,2)&amp;"."&amp;MID(C158,3,3)&amp;"."&amp;MID(C158,6,3)&amp;"/"&amp;MID(C158,9,4)&amp;"-"&amp;MID(C158,13,2))</f>
        <v>02.342.428/0001-48</v>
      </c>
      <c r="E158" s="4" t="str">
        <f aca="false">IF(ISNA(MATCH(A158,cnpj!$A:$A,0)),"Lotação não existe na aba cnpj",IF(B158="","Sem CNPJ na aba cnpj","OK"))</f>
        <v>OK</v>
      </c>
    </row>
    <row r="159" customFormat="false" ht="15" hidden="false" customHeight="false" outlineLevel="0" collapsed="false">
      <c r="A159" s="4" t="n">
        <f aca="false">sisgi!A159</f>
        <v>12912</v>
      </c>
      <c r="B159" s="5" t="str">
        <f aca="false">IFERROR(IF(INDEX(cnpj!$B:$B,MATCH(A159,cnpj!$A:$A,0))="","",INDEX(cnpj!$B:$B,MATCH(A159,cnpj!$A:$A,0))),"")</f>
        <v>01.868.119/0001-43</v>
      </c>
      <c r="C159" s="5" t="str">
        <f aca="false">IF(B159="","",RIGHT("00000000000000"&amp;SUBSTITUTE(SUBSTITUTE(SUBSTITUTE(SUBSTITUTE(B159,".",""),"/",""),"-","")," ",""),14))</f>
        <v>01868119000143</v>
      </c>
      <c r="D159" s="5" t="str">
        <f aca="false">IF(C159="","",MID(C159,1,2)&amp;"."&amp;MID(C159,3,3)&amp;"."&amp;MID(C159,6,3)&amp;"/"&amp;MID(C159,9,4)&amp;"-"&amp;MID(C159,13,2))</f>
        <v>01.868.119/0001-43</v>
      </c>
      <c r="E159" s="4" t="str">
        <f aca="false">IF(ISNA(MATCH(A159,cnpj!$A:$A,0)),"Lotação não existe na aba cnpj",IF(B159="","Sem CNPJ na aba cnpj","OK"))</f>
        <v>OK</v>
      </c>
    </row>
    <row r="160" customFormat="false" ht="15" hidden="false" customHeight="false" outlineLevel="0" collapsed="false">
      <c r="A160" s="4" t="n">
        <f aca="false">sisgi!A160</f>
        <v>12920</v>
      </c>
      <c r="B160" s="5" t="str">
        <f aca="false">IFERROR(IF(INDEX(cnpj!$B:$B,MATCH(A160,cnpj!$A:$A,0))="","",INDEX(cnpj!$B:$B,MATCH(A160,cnpj!$A:$A,0))),"")</f>
        <v>01.592.123/0001-21</v>
      </c>
      <c r="C160" s="5" t="str">
        <f aca="false">IF(B160="","",RIGHT("00000000000000"&amp;SUBSTITUTE(SUBSTITUTE(SUBSTITUTE(SUBSTITUTE(B160,".",""),"/",""),"-","")," ",""),14))</f>
        <v>01592123000121</v>
      </c>
      <c r="D160" s="5" t="str">
        <f aca="false">IF(C160="","",MID(C160,1,2)&amp;"."&amp;MID(C160,3,3)&amp;"."&amp;MID(C160,6,3)&amp;"/"&amp;MID(C160,9,4)&amp;"-"&amp;MID(C160,13,2))</f>
        <v>01.592.123/0001-21</v>
      </c>
      <c r="E160" s="4" t="str">
        <f aca="false">IF(ISNA(MATCH(A160,cnpj!$A:$A,0)),"Lotação não existe na aba cnpj",IF(B160="","Sem CNPJ na aba cnpj","OK"))</f>
        <v>OK</v>
      </c>
    </row>
    <row r="161" customFormat="false" ht="15" hidden="false" customHeight="false" outlineLevel="0" collapsed="false">
      <c r="A161" s="4" t="n">
        <f aca="false">sisgi!A161</f>
        <v>12939</v>
      </c>
      <c r="B161" s="5" t="str">
        <f aca="false">IFERROR(IF(INDEX(cnpj!$B:$B,MATCH(A161,cnpj!$A:$A,0))="","",INDEX(cnpj!$B:$B,MATCH(A161,cnpj!$A:$A,0))),"")</f>
        <v>07.846.939/0001-10</v>
      </c>
      <c r="C161" s="5" t="str">
        <f aca="false">IF(B161="","",RIGHT("00000000000000"&amp;SUBSTITUTE(SUBSTITUTE(SUBSTITUTE(SUBSTITUTE(B161,".",""),"/",""),"-","")," ",""),14))</f>
        <v>07846939000110</v>
      </c>
      <c r="D161" s="5" t="str">
        <f aca="false">IF(C161="","",MID(C161,1,2)&amp;"."&amp;MID(C161,3,3)&amp;"."&amp;MID(C161,6,3)&amp;"/"&amp;MID(C161,9,4)&amp;"-"&amp;MID(C161,13,2))</f>
        <v>07.846.939/0001-10</v>
      </c>
      <c r="E161" s="4" t="str">
        <f aca="false">IF(ISNA(MATCH(A161,cnpj!$A:$A,0)),"Lotação não existe na aba cnpj",IF(B161="","Sem CNPJ na aba cnpj","OK"))</f>
        <v>OK</v>
      </c>
    </row>
    <row r="162" customFormat="false" ht="15" hidden="false" customHeight="false" outlineLevel="0" collapsed="false">
      <c r="A162" s="4" t="n">
        <f aca="false">sisgi!A162</f>
        <v>12947</v>
      </c>
      <c r="B162" s="5" t="str">
        <f aca="false">IFERROR(IF(INDEX(cnpj!$B:$B,MATCH(A162,cnpj!$A:$A,0))="","",INDEX(cnpj!$B:$B,MATCH(A162,cnpj!$A:$A,0))),"")</f>
        <v>01.796.191/0001-02</v>
      </c>
      <c r="C162" s="5" t="str">
        <f aca="false">IF(B162="","",RIGHT("00000000000000"&amp;SUBSTITUTE(SUBSTITUTE(SUBSTITUTE(SUBSTITUTE(B162,".",""),"/",""),"-","")," ",""),14))</f>
        <v>01796191000102</v>
      </c>
      <c r="D162" s="5" t="str">
        <f aca="false">IF(C162="","",MID(C162,1,2)&amp;"."&amp;MID(C162,3,3)&amp;"."&amp;MID(C162,6,3)&amp;"/"&amp;MID(C162,9,4)&amp;"-"&amp;MID(C162,13,2))</f>
        <v>01.796.191/0001-02</v>
      </c>
      <c r="E162" s="4" t="str">
        <f aca="false">IF(ISNA(MATCH(A162,cnpj!$A:$A,0)),"Lotação não existe na aba cnpj",IF(B162="","Sem CNPJ na aba cnpj","OK"))</f>
        <v>OK</v>
      </c>
    </row>
    <row r="163" customFormat="false" ht="15" hidden="false" customHeight="false" outlineLevel="0" collapsed="false">
      <c r="A163" s="4" t="n">
        <f aca="false">sisgi!A163</f>
        <v>12955</v>
      </c>
      <c r="B163" s="5" t="str">
        <f aca="false">IFERROR(IF(INDEX(cnpj!$B:$B,MATCH(A163,cnpj!$A:$A,0))="","",INDEX(cnpj!$B:$B,MATCH(A163,cnpj!$A:$A,0))),"")</f>
        <v>01.971.677/0001-30</v>
      </c>
      <c r="C163" s="5" t="str">
        <f aca="false">IF(B163="","",RIGHT("00000000000000"&amp;SUBSTITUTE(SUBSTITUTE(SUBSTITUTE(SUBSTITUTE(B163,".",""),"/",""),"-","")," ",""),14))</f>
        <v>01971677000130</v>
      </c>
      <c r="D163" s="5" t="str">
        <f aca="false">IF(C163="","",MID(C163,1,2)&amp;"."&amp;MID(C163,3,3)&amp;"."&amp;MID(C163,6,3)&amp;"/"&amp;MID(C163,9,4)&amp;"-"&amp;MID(C163,13,2))</f>
        <v>01.971.677/0001-30</v>
      </c>
      <c r="E163" s="4" t="str">
        <f aca="false">IF(ISNA(MATCH(A163,cnpj!$A:$A,0)),"Lotação não existe na aba cnpj",IF(B163="","Sem CNPJ na aba cnpj","OK"))</f>
        <v>OK</v>
      </c>
    </row>
    <row r="164" customFormat="false" ht="15" hidden="false" customHeight="false" outlineLevel="0" collapsed="false">
      <c r="A164" s="4" t="n">
        <f aca="false">sisgi!A164</f>
        <v>12971</v>
      </c>
      <c r="B164" s="5" t="str">
        <f aca="false">IFERROR(IF(INDEX(cnpj!$B:$B,MATCH(A164,cnpj!$A:$A,0))="","",INDEX(cnpj!$B:$B,MATCH(A164,cnpj!$A:$A,0))),"")</f>
        <v>01.981.167/0001-43</v>
      </c>
      <c r="C164" s="5" t="str">
        <f aca="false">IF(B164="","",RIGHT("00000000000000"&amp;SUBSTITUTE(SUBSTITUTE(SUBSTITUTE(SUBSTITUTE(B164,".",""),"/",""),"-","")," ",""),14))</f>
        <v>01981167000143</v>
      </c>
      <c r="D164" s="5" t="str">
        <f aca="false">IF(C164="","",MID(C164,1,2)&amp;"."&amp;MID(C164,3,3)&amp;"."&amp;MID(C164,6,3)&amp;"/"&amp;MID(C164,9,4)&amp;"-"&amp;MID(C164,13,2))</f>
        <v>01.981.167/0001-43</v>
      </c>
      <c r="E164" s="4" t="str">
        <f aca="false">IF(ISNA(MATCH(A164,cnpj!$A:$A,0)),"Lotação não existe na aba cnpj",IF(B164="","Sem CNPJ na aba cnpj","OK"))</f>
        <v>OK</v>
      </c>
    </row>
    <row r="165" customFormat="false" ht="15" hidden="false" customHeight="false" outlineLevel="0" collapsed="false">
      <c r="A165" s="4" t="n">
        <f aca="false">sisgi!A165</f>
        <v>12980</v>
      </c>
      <c r="B165" s="5" t="str">
        <f aca="false">IFERROR(IF(INDEX(cnpj!$B:$B,MATCH(A165,cnpj!$A:$A,0))="","",INDEX(cnpj!$B:$B,MATCH(A165,cnpj!$A:$A,0))),"")</f>
        <v>01.609.238/0001-81</v>
      </c>
      <c r="C165" s="5" t="str">
        <f aca="false">IF(B165="","",RIGHT("00000000000000"&amp;SUBSTITUTE(SUBSTITUTE(SUBSTITUTE(SUBSTITUTE(B165,".",""),"/",""),"-","")," ",""),14))</f>
        <v>01609238000181</v>
      </c>
      <c r="D165" s="5" t="str">
        <f aca="false">IF(C165="","",MID(C165,1,2)&amp;"."&amp;MID(C165,3,3)&amp;"."&amp;MID(C165,6,3)&amp;"/"&amp;MID(C165,9,4)&amp;"-"&amp;MID(C165,13,2))</f>
        <v>01.609.238/0001-81</v>
      </c>
      <c r="E165" s="4" t="str">
        <f aca="false">IF(ISNA(MATCH(A165,cnpj!$A:$A,0)),"Lotação não existe na aba cnpj",IF(B165="","Sem CNPJ na aba cnpj","OK"))</f>
        <v>OK</v>
      </c>
    </row>
    <row r="166" customFormat="false" ht="15" hidden="false" customHeight="false" outlineLevel="0" collapsed="false">
      <c r="A166" s="4" t="n">
        <f aca="false">sisgi!A166</f>
        <v>13013</v>
      </c>
      <c r="B166" s="5" t="str">
        <f aca="false">IFERROR(IF(INDEX(cnpj!$B:$B,MATCH(A166,cnpj!$A:$A,0))="","",INDEX(cnpj!$B:$B,MATCH(A166,cnpj!$A:$A,0))),"")</f>
        <v>03.741.945/0001-52</v>
      </c>
      <c r="C166" s="5" t="str">
        <f aca="false">IF(B166="","",RIGHT("00000000000000"&amp;SUBSTITUTE(SUBSTITUTE(SUBSTITUTE(SUBSTITUTE(B166,".",""),"/",""),"-","")," ",""),14))</f>
        <v>03741945000152</v>
      </c>
      <c r="D166" s="5" t="str">
        <f aca="false">IF(C166="","",MID(C166,1,2)&amp;"."&amp;MID(C166,3,3)&amp;"."&amp;MID(C166,6,3)&amp;"/"&amp;MID(C166,9,4)&amp;"-"&amp;MID(C166,13,2))</f>
        <v>03.741.945/0001-52</v>
      </c>
      <c r="E166" s="4" t="str">
        <f aca="false">IF(ISNA(MATCH(A166,cnpj!$A:$A,0)),"Lotação não existe na aba cnpj",IF(B166="","Sem CNPJ na aba cnpj","OK"))</f>
        <v>OK</v>
      </c>
    </row>
    <row r="167" customFormat="false" ht="15" hidden="false" customHeight="false" outlineLevel="0" collapsed="false">
      <c r="A167" s="4" t="n">
        <f aca="false">sisgi!A167</f>
        <v>13021</v>
      </c>
      <c r="B167" s="5" t="str">
        <f aca="false">IFERROR(IF(INDEX(cnpj!$B:$B,MATCH(A167,cnpj!$A:$A,0))="","",INDEX(cnpj!$B:$B,MATCH(A167,cnpj!$A:$A,0))),"")</f>
        <v>02.025.168/0001-87</v>
      </c>
      <c r="C167" s="5" t="str">
        <f aca="false">IF(B167="","",RIGHT("00000000000000"&amp;SUBSTITUTE(SUBSTITUTE(SUBSTITUTE(SUBSTITUTE(B167,".",""),"/",""),"-","")," ",""),14))</f>
        <v>02025168000187</v>
      </c>
      <c r="D167" s="5" t="str">
        <f aca="false">IF(C167="","",MID(C167,1,2)&amp;"."&amp;MID(C167,3,3)&amp;"."&amp;MID(C167,6,3)&amp;"/"&amp;MID(C167,9,4)&amp;"-"&amp;MID(C167,13,2))</f>
        <v>02.025.168/0001-87</v>
      </c>
      <c r="E167" s="4" t="str">
        <f aca="false">IF(ISNA(MATCH(A167,cnpj!$A:$A,0)),"Lotação não existe na aba cnpj",IF(B167="","Sem CNPJ na aba cnpj","OK"))</f>
        <v>OK</v>
      </c>
    </row>
    <row r="168" customFormat="false" ht="15" hidden="false" customHeight="false" outlineLevel="0" collapsed="false">
      <c r="A168" s="4" t="n">
        <f aca="false">sisgi!A168</f>
        <v>13048</v>
      </c>
      <c r="B168" s="5" t="str">
        <f aca="false">IFERROR(IF(INDEX(cnpj!$B:$B,MATCH(A168,cnpj!$A:$A,0))="","",INDEX(cnpj!$B:$B,MATCH(A168,cnpj!$A:$A,0))),"")</f>
        <v>02.035.898/0001-69</v>
      </c>
      <c r="C168" s="5" t="str">
        <f aca="false">IF(B168="","",RIGHT("00000000000000"&amp;SUBSTITUTE(SUBSTITUTE(SUBSTITUTE(SUBSTITUTE(B168,".",""),"/",""),"-","")," ",""),14))</f>
        <v>02035898000169</v>
      </c>
      <c r="D168" s="5" t="str">
        <f aca="false">IF(C168="","",MID(C168,1,2)&amp;"."&amp;MID(C168,3,3)&amp;"."&amp;MID(C168,6,3)&amp;"/"&amp;MID(C168,9,4)&amp;"-"&amp;MID(C168,13,2))</f>
        <v>02.035.898/0001-69</v>
      </c>
      <c r="E168" s="4" t="str">
        <f aca="false">IF(ISNA(MATCH(A168,cnpj!$A:$A,0)),"Lotação não existe na aba cnpj",IF(B168="","Sem CNPJ na aba cnpj","OK"))</f>
        <v>OK</v>
      </c>
    </row>
    <row r="169" customFormat="false" ht="15" hidden="false" customHeight="false" outlineLevel="0" collapsed="false">
      <c r="A169" s="4" t="n">
        <f aca="false">sisgi!A169</f>
        <v>13056</v>
      </c>
      <c r="B169" s="5" t="str">
        <f aca="false">IFERROR(IF(INDEX(cnpj!$B:$B,MATCH(A169,cnpj!$A:$A,0))="","",INDEX(cnpj!$B:$B,MATCH(A169,cnpj!$A:$A,0))),"")</f>
        <v>02.158.613/0001-87</v>
      </c>
      <c r="C169" s="5" t="str">
        <f aca="false">IF(B169="","",RIGHT("00000000000000"&amp;SUBSTITUTE(SUBSTITUTE(SUBSTITUTE(SUBSTITUTE(B169,".",""),"/",""),"-","")," ",""),14))</f>
        <v>02158613000187</v>
      </c>
      <c r="D169" s="5" t="str">
        <f aca="false">IF(C169="","",MID(C169,1,2)&amp;"."&amp;MID(C169,3,3)&amp;"."&amp;MID(C169,6,3)&amp;"/"&amp;MID(C169,9,4)&amp;"-"&amp;MID(C169,13,2))</f>
        <v>02.158.613/0001-87</v>
      </c>
      <c r="E169" s="4" t="str">
        <f aca="false">IF(ISNA(MATCH(A169,cnpj!$A:$A,0)),"Lotação não existe na aba cnpj",IF(B169="","Sem CNPJ na aba cnpj","OK"))</f>
        <v>OK</v>
      </c>
    </row>
    <row r="170" customFormat="false" ht="15" hidden="false" customHeight="false" outlineLevel="0" collapsed="false">
      <c r="A170" s="4" t="n">
        <f aca="false">sisgi!A170</f>
        <v>13072</v>
      </c>
      <c r="B170" s="5" t="str">
        <f aca="false">IFERROR(IF(INDEX(cnpj!$B:$B,MATCH(A170,cnpj!$A:$A,0))="","",INDEX(cnpj!$B:$B,MATCH(A170,cnpj!$A:$A,0))),"")</f>
        <v>02.010.865/0001-64</v>
      </c>
      <c r="C170" s="5" t="str">
        <f aca="false">IF(B170="","",RIGHT("00000000000000"&amp;SUBSTITUTE(SUBSTITUTE(SUBSTITUTE(SUBSTITUTE(B170,".",""),"/",""),"-","")," ",""),14))</f>
        <v>02010865000164</v>
      </c>
      <c r="D170" s="5" t="str">
        <f aca="false">IF(C170="","",MID(C170,1,2)&amp;"."&amp;MID(C170,3,3)&amp;"."&amp;MID(C170,6,3)&amp;"/"&amp;MID(C170,9,4)&amp;"-"&amp;MID(C170,13,2))</f>
        <v>02.010.865/0001-64</v>
      </c>
      <c r="E170" s="4" t="str">
        <f aca="false">IF(ISNA(MATCH(A170,cnpj!$A:$A,0)),"Lotação não existe na aba cnpj",IF(B170="","Sem CNPJ na aba cnpj","OK"))</f>
        <v>OK</v>
      </c>
    </row>
    <row r="171" customFormat="false" ht="15" hidden="false" customHeight="false" outlineLevel="0" collapsed="false">
      <c r="A171" s="4" t="n">
        <f aca="false">sisgi!A171</f>
        <v>13102</v>
      </c>
      <c r="B171" s="5" t="str">
        <f aca="false">IFERROR(IF(INDEX(cnpj!$B:$B,MATCH(A171,cnpj!$A:$A,0))="","",INDEX(cnpj!$B:$B,MATCH(A171,cnpj!$A:$A,0))),"")</f>
        <v>01.328.012/0001-02</v>
      </c>
      <c r="C171" s="5" t="str">
        <f aca="false">IF(B171="","",RIGHT("00000000000000"&amp;SUBSTITUTE(SUBSTITUTE(SUBSTITUTE(SUBSTITUTE(B171,".",""),"/",""),"-","")," ",""),14))</f>
        <v>01328012000102</v>
      </c>
      <c r="D171" s="5" t="str">
        <f aca="false">IF(C171="","",MID(C171,1,2)&amp;"."&amp;MID(C171,3,3)&amp;"."&amp;MID(C171,6,3)&amp;"/"&amp;MID(C171,9,4)&amp;"-"&amp;MID(C171,13,2))</f>
        <v>01.328.012/0001-02</v>
      </c>
      <c r="E171" s="4" t="str">
        <f aca="false">IF(ISNA(MATCH(A171,cnpj!$A:$A,0)),"Lotação não existe na aba cnpj",IF(B171="","Sem CNPJ na aba cnpj","OK"))</f>
        <v>OK</v>
      </c>
    </row>
    <row r="172" customFormat="false" ht="15" hidden="false" customHeight="false" outlineLevel="0" collapsed="false">
      <c r="A172" s="4" t="n">
        <f aca="false">sisgi!A172</f>
        <v>13129</v>
      </c>
      <c r="B172" s="5" t="str">
        <f aca="false">IFERROR(IF(INDEX(cnpj!$B:$B,MATCH(A172,cnpj!$A:$A,0))="","",INDEX(cnpj!$B:$B,MATCH(A172,cnpj!$A:$A,0))),"")</f>
        <v>01.940.359/0001-01</v>
      </c>
      <c r="C172" s="5" t="str">
        <f aca="false">IF(B172="","",RIGHT("00000000000000"&amp;SUBSTITUTE(SUBSTITUTE(SUBSTITUTE(SUBSTITUTE(B172,".",""),"/",""),"-","")," ",""),14))</f>
        <v>01940359000101</v>
      </c>
      <c r="D172" s="5" t="str">
        <f aca="false">IF(C172="","",MID(C172,1,2)&amp;"."&amp;MID(C172,3,3)&amp;"."&amp;MID(C172,6,3)&amp;"/"&amp;MID(C172,9,4)&amp;"-"&amp;MID(C172,13,2))</f>
        <v>01.940.359/0001-01</v>
      </c>
      <c r="E172" s="4" t="str">
        <f aca="false">IF(ISNA(MATCH(A172,cnpj!$A:$A,0)),"Lotação não existe na aba cnpj",IF(B172="","Sem CNPJ na aba cnpj","OK"))</f>
        <v>OK</v>
      </c>
    </row>
    <row r="173" customFormat="false" ht="15" hidden="false" customHeight="false" outlineLevel="0" collapsed="false">
      <c r="A173" s="4" t="n">
        <f aca="false">sisgi!A173</f>
        <v>13137</v>
      </c>
      <c r="B173" s="5" t="str">
        <f aca="false">IFERROR(IF(INDEX(cnpj!$B:$B,MATCH(A173,cnpj!$A:$A,0))="","",INDEX(cnpj!$B:$B,MATCH(A173,cnpj!$A:$A,0))),"")</f>
        <v>01.939.514/0001-70</v>
      </c>
      <c r="C173" s="5" t="str">
        <f aca="false">IF(B173="","",RIGHT("00000000000000"&amp;SUBSTITUTE(SUBSTITUTE(SUBSTITUTE(SUBSTITUTE(B173,".",""),"/",""),"-","")," ",""),14))</f>
        <v>01939514000170</v>
      </c>
      <c r="D173" s="5" t="str">
        <f aca="false">IF(C173="","",MID(C173,1,2)&amp;"."&amp;MID(C173,3,3)&amp;"."&amp;MID(C173,6,3)&amp;"/"&amp;MID(C173,9,4)&amp;"-"&amp;MID(C173,13,2))</f>
        <v>01.939.514/0001-70</v>
      </c>
      <c r="E173" s="4" t="str">
        <f aca="false">IF(ISNA(MATCH(A173,cnpj!$A:$A,0)),"Lotação não existe na aba cnpj",IF(B173="","Sem CNPJ na aba cnpj","OK"))</f>
        <v>OK</v>
      </c>
    </row>
    <row r="174" customFormat="false" ht="15" hidden="false" customHeight="false" outlineLevel="0" collapsed="false">
      <c r="A174" s="4" t="n">
        <f aca="false">sisgi!A174</f>
        <v>13145</v>
      </c>
      <c r="B174" s="5" t="str">
        <f aca="false">IFERROR(IF(INDEX(cnpj!$B:$B,MATCH(A174,cnpj!$A:$A,0))="","",INDEX(cnpj!$B:$B,MATCH(A174,cnpj!$A:$A,0))),"")</f>
        <v>01.940.379/0001-82</v>
      </c>
      <c r="C174" s="5" t="str">
        <f aca="false">IF(B174="","",RIGHT("00000000000000"&amp;SUBSTITUTE(SUBSTITUTE(SUBSTITUTE(SUBSTITUTE(B174,".",""),"/",""),"-","")," ",""),14))</f>
        <v>01940379000182</v>
      </c>
      <c r="D174" s="5" t="str">
        <f aca="false">IF(C174="","",MID(C174,1,2)&amp;"."&amp;MID(C174,3,3)&amp;"."&amp;MID(C174,6,3)&amp;"/"&amp;MID(C174,9,4)&amp;"-"&amp;MID(C174,13,2))</f>
        <v>01.940.379/0001-82</v>
      </c>
      <c r="E174" s="4" t="str">
        <f aca="false">IF(ISNA(MATCH(A174,cnpj!$A:$A,0)),"Lotação não existe na aba cnpj",IF(B174="","Sem CNPJ na aba cnpj","OK"))</f>
        <v>OK</v>
      </c>
    </row>
    <row r="175" customFormat="false" ht="15" hidden="false" customHeight="false" outlineLevel="0" collapsed="false">
      <c r="A175" s="4" t="n">
        <f aca="false">sisgi!A175</f>
        <v>13153</v>
      </c>
      <c r="B175" s="5" t="str">
        <f aca="false">IFERROR(IF(INDEX(cnpj!$B:$B,MATCH(A175,cnpj!$A:$A,0))="","",INDEX(cnpj!$B:$B,MATCH(A175,cnpj!$A:$A,0))),"")</f>
        <v>01.921.633/0001-03</v>
      </c>
      <c r="C175" s="5" t="str">
        <f aca="false">IF(B175="","",RIGHT("00000000000000"&amp;SUBSTITUTE(SUBSTITUTE(SUBSTITUTE(SUBSTITUTE(B175,".",""),"/",""),"-","")," ",""),14))</f>
        <v>01921633000103</v>
      </c>
      <c r="D175" s="5" t="str">
        <f aca="false">IF(C175="","",MID(C175,1,2)&amp;"."&amp;MID(C175,3,3)&amp;"."&amp;MID(C175,6,3)&amp;"/"&amp;MID(C175,9,4)&amp;"-"&amp;MID(C175,13,2))</f>
        <v>01.921.633/0001-03</v>
      </c>
      <c r="E175" s="4" t="str">
        <f aca="false">IF(ISNA(MATCH(A175,cnpj!$A:$A,0)),"Lotação não existe na aba cnpj",IF(B175="","Sem CNPJ na aba cnpj","OK"))</f>
        <v>OK</v>
      </c>
    </row>
    <row r="176" customFormat="false" ht="15" hidden="false" customHeight="false" outlineLevel="0" collapsed="false">
      <c r="A176" s="4" t="n">
        <f aca="false">sisgi!A176</f>
        <v>13170</v>
      </c>
      <c r="B176" s="5" t="str">
        <f aca="false">IFERROR(IF(INDEX(cnpj!$B:$B,MATCH(A176,cnpj!$A:$A,0))="","",INDEX(cnpj!$B:$B,MATCH(A176,cnpj!$A:$A,0))),"")</f>
        <v>01.675.056/0001-09</v>
      </c>
      <c r="C176" s="5" t="str">
        <f aca="false">IF(B176="","",RIGHT("00000000000000"&amp;SUBSTITUTE(SUBSTITUTE(SUBSTITUTE(SUBSTITUTE(B176,".",""),"/",""),"-","")," ",""),14))</f>
        <v>01675056000109</v>
      </c>
      <c r="D176" s="5" t="str">
        <f aca="false">IF(C176="","",MID(C176,1,2)&amp;"."&amp;MID(C176,3,3)&amp;"."&amp;MID(C176,6,3)&amp;"/"&amp;MID(C176,9,4)&amp;"-"&amp;MID(C176,13,2))</f>
        <v>01.675.056/0001-09</v>
      </c>
      <c r="E176" s="4" t="str">
        <f aca="false">IF(ISNA(MATCH(A176,cnpj!$A:$A,0)),"Lotação não existe na aba cnpj",IF(B176="","Sem CNPJ na aba cnpj","OK"))</f>
        <v>OK</v>
      </c>
    </row>
    <row r="177" customFormat="false" ht="15" hidden="false" customHeight="false" outlineLevel="0" collapsed="false">
      <c r="A177" s="4" t="n">
        <f aca="false">sisgi!A177</f>
        <v>13188</v>
      </c>
      <c r="B177" s="5" t="str">
        <f aca="false">IFERROR(IF(INDEX(cnpj!$B:$B,MATCH(A177,cnpj!$A:$A,0))="","",INDEX(cnpj!$B:$B,MATCH(A177,cnpj!$A:$A,0))),"")</f>
        <v>02.021.534/0001-20</v>
      </c>
      <c r="C177" s="5" t="str">
        <f aca="false">IF(B177="","",RIGHT("00000000000000"&amp;SUBSTITUTE(SUBSTITUTE(SUBSTITUTE(SUBSTITUTE(B177,".",""),"/",""),"-","")," ",""),14))</f>
        <v>02021534000120</v>
      </c>
      <c r="D177" s="5" t="str">
        <f aca="false">IF(C177="","",MID(C177,1,2)&amp;"."&amp;MID(C177,3,3)&amp;"."&amp;MID(C177,6,3)&amp;"/"&amp;MID(C177,9,4)&amp;"-"&amp;MID(C177,13,2))</f>
        <v>02.021.534/0001-20</v>
      </c>
      <c r="E177" s="4" t="str">
        <f aca="false">IF(ISNA(MATCH(A177,cnpj!$A:$A,0)),"Lotação não existe na aba cnpj",IF(B177="","Sem CNPJ na aba cnpj","OK"))</f>
        <v>OK</v>
      </c>
    </row>
    <row r="178" customFormat="false" ht="15" hidden="false" customHeight="false" outlineLevel="0" collapsed="false">
      <c r="A178" s="4" t="n">
        <f aca="false">sisgi!A178</f>
        <v>13218</v>
      </c>
      <c r="B178" s="5" t="str">
        <f aca="false">IFERROR(IF(INDEX(cnpj!$B:$B,MATCH(A178,cnpj!$A:$A,0))="","",INDEX(cnpj!$B:$B,MATCH(A178,cnpj!$A:$A,0))),"")</f>
        <v>01.936.978/0001-22</v>
      </c>
      <c r="C178" s="5" t="str">
        <f aca="false">IF(B178="","",RIGHT("00000000000000"&amp;SUBSTITUTE(SUBSTITUTE(SUBSTITUTE(SUBSTITUTE(B178,".",""),"/",""),"-","")," ",""),14))</f>
        <v>01936978000122</v>
      </c>
      <c r="D178" s="5" t="str">
        <f aca="false">IF(C178="","",MID(C178,1,2)&amp;"."&amp;MID(C178,3,3)&amp;"."&amp;MID(C178,6,3)&amp;"/"&amp;MID(C178,9,4)&amp;"-"&amp;MID(C178,13,2))</f>
        <v>01.936.978/0001-22</v>
      </c>
      <c r="E178" s="4" t="str">
        <f aca="false">IF(ISNA(MATCH(A178,cnpj!$A:$A,0)),"Lotação não existe na aba cnpj",IF(B178="","Sem CNPJ na aba cnpj","OK"))</f>
        <v>OK</v>
      </c>
    </row>
    <row r="179" customFormat="false" ht="15" hidden="false" customHeight="false" outlineLevel="0" collapsed="false">
      <c r="A179" s="4" t="n">
        <f aca="false">sisgi!A179</f>
        <v>13242</v>
      </c>
      <c r="B179" s="5" t="str">
        <f aca="false">IFERROR(IF(INDEX(cnpj!$B:$B,MATCH(A179,cnpj!$A:$A,0))="","",INDEX(cnpj!$B:$B,MATCH(A179,cnpj!$A:$A,0))),"")</f>
        <v>01.568.144/0001-01</v>
      </c>
      <c r="C179" s="5" t="str">
        <f aca="false">IF(B179="","",RIGHT("00000000000000"&amp;SUBSTITUTE(SUBSTITUTE(SUBSTITUTE(SUBSTITUTE(B179,".",""),"/",""),"-","")," ",""),14))</f>
        <v>01568144000101</v>
      </c>
      <c r="D179" s="5" t="str">
        <f aca="false">IF(C179="","",MID(C179,1,2)&amp;"."&amp;MID(C179,3,3)&amp;"."&amp;MID(C179,6,3)&amp;"/"&amp;MID(C179,9,4)&amp;"-"&amp;MID(C179,13,2))</f>
        <v>01.568.144/0001-01</v>
      </c>
      <c r="E179" s="4" t="str">
        <f aca="false">IF(ISNA(MATCH(A179,cnpj!$A:$A,0)),"Lotação não existe na aba cnpj",IF(B179="","Sem CNPJ na aba cnpj","OK"))</f>
        <v>OK</v>
      </c>
    </row>
    <row r="180" customFormat="false" ht="15" hidden="false" customHeight="false" outlineLevel="0" collapsed="false">
      <c r="A180" s="4" t="n">
        <f aca="false">sisgi!A180</f>
        <v>13250</v>
      </c>
      <c r="B180" s="5" t="str">
        <f aca="false">IFERROR(IF(INDEX(cnpj!$B:$B,MATCH(A180,cnpj!$A:$A,0))="","",INDEX(cnpj!$B:$B,MATCH(A180,cnpj!$A:$A,0))),"")</f>
        <v>01.395.681/0001-05</v>
      </c>
      <c r="C180" s="5" t="str">
        <f aca="false">IF(B180="","",RIGHT("00000000000000"&amp;SUBSTITUTE(SUBSTITUTE(SUBSTITUTE(SUBSTITUTE(B180,".",""),"/",""),"-","")," ",""),14))</f>
        <v>01395681000105</v>
      </c>
      <c r="D180" s="5" t="str">
        <f aca="false">IF(C180="","",MID(C180,1,2)&amp;"."&amp;MID(C180,3,3)&amp;"."&amp;MID(C180,6,3)&amp;"/"&amp;MID(C180,9,4)&amp;"-"&amp;MID(C180,13,2))</f>
        <v>01.395.681/0001-05</v>
      </c>
      <c r="E180" s="4" t="str">
        <f aca="false">IF(ISNA(MATCH(A180,cnpj!$A:$A,0)),"Lotação não existe na aba cnpj",IF(B180="","Sem CNPJ na aba cnpj","OK"))</f>
        <v>OK</v>
      </c>
    </row>
    <row r="181" customFormat="false" ht="15" hidden="false" customHeight="false" outlineLevel="0" collapsed="false">
      <c r="A181" s="4" t="n">
        <f aca="false">sisgi!A181</f>
        <v>13269</v>
      </c>
      <c r="B181" s="5" t="str">
        <f aca="false">IFERROR(IF(INDEX(cnpj!$B:$B,MATCH(A181,cnpj!$A:$A,0))="","",INDEX(cnpj!$B:$B,MATCH(A181,cnpj!$A:$A,0))),"")</f>
        <v>01.558.327/0001-46</v>
      </c>
      <c r="C181" s="5" t="str">
        <f aca="false">IF(B181="","",RIGHT("00000000000000"&amp;SUBSTITUTE(SUBSTITUTE(SUBSTITUTE(SUBSTITUTE(B181,".",""),"/",""),"-","")," ",""),14))</f>
        <v>01558327000146</v>
      </c>
      <c r="D181" s="5" t="str">
        <f aca="false">IF(C181="","",MID(C181,1,2)&amp;"."&amp;MID(C181,3,3)&amp;"."&amp;MID(C181,6,3)&amp;"/"&amp;MID(C181,9,4)&amp;"-"&amp;MID(C181,13,2))</f>
        <v>01.558.327/0001-46</v>
      </c>
      <c r="E181" s="4" t="str">
        <f aca="false">IF(ISNA(MATCH(A181,cnpj!$A:$A,0)),"Lotação não existe na aba cnpj",IF(B181="","Sem CNPJ na aba cnpj","OK"))</f>
        <v>OK</v>
      </c>
    </row>
    <row r="182" customFormat="false" ht="15" hidden="false" customHeight="false" outlineLevel="0" collapsed="false">
      <c r="A182" s="4" t="n">
        <f aca="false">sisgi!A182</f>
        <v>13285</v>
      </c>
      <c r="B182" s="5" t="str">
        <f aca="false">IFERROR(IF(INDEX(cnpj!$B:$B,MATCH(A182,cnpj!$A:$A,0))="","",INDEX(cnpj!$B:$B,MATCH(A182,cnpj!$A:$A,0))),"")</f>
        <v>01.395.677/0001-39</v>
      </c>
      <c r="C182" s="5" t="str">
        <f aca="false">IF(B182="","",RIGHT("00000000000000"&amp;SUBSTITUTE(SUBSTITUTE(SUBSTITUTE(SUBSTITUTE(B182,".",""),"/",""),"-","")," ",""),14))</f>
        <v>01395677000139</v>
      </c>
      <c r="D182" s="5" t="str">
        <f aca="false">IF(C182="","",MID(C182,1,2)&amp;"."&amp;MID(C182,3,3)&amp;"."&amp;MID(C182,6,3)&amp;"/"&amp;MID(C182,9,4)&amp;"-"&amp;MID(C182,13,2))</f>
        <v>01.395.677/0001-39</v>
      </c>
      <c r="E182" s="4" t="str">
        <f aca="false">IF(ISNA(MATCH(A182,cnpj!$A:$A,0)),"Lotação não existe na aba cnpj",IF(B182="","Sem CNPJ na aba cnpj","OK"))</f>
        <v>OK</v>
      </c>
    </row>
    <row r="183" customFormat="false" ht="15" hidden="false" customHeight="false" outlineLevel="0" collapsed="false">
      <c r="A183" s="4" t="n">
        <f aca="false">sisgi!A183</f>
        <v>13307</v>
      </c>
      <c r="B183" s="5" t="str">
        <f aca="false">IFERROR(IF(INDEX(cnpj!$B:$B,MATCH(A183,cnpj!$A:$A,0))="","",INDEX(cnpj!$B:$B,MATCH(A183,cnpj!$A:$A,0))),"")</f>
        <v>01.403.545/0001-01</v>
      </c>
      <c r="C183" s="5" t="str">
        <f aca="false">IF(B183="","",RIGHT("00000000000000"&amp;SUBSTITUTE(SUBSTITUTE(SUBSTITUTE(SUBSTITUTE(B183,".",""),"/",""),"-","")," ",""),14))</f>
        <v>01403545000101</v>
      </c>
      <c r="D183" s="5" t="str">
        <f aca="false">IF(C183="","",MID(C183,1,2)&amp;"."&amp;MID(C183,3,3)&amp;"."&amp;MID(C183,6,3)&amp;"/"&amp;MID(C183,9,4)&amp;"-"&amp;MID(C183,13,2))</f>
        <v>01.403.545/0001-01</v>
      </c>
      <c r="E183" s="4" t="str">
        <f aca="false">IF(ISNA(MATCH(A183,cnpj!$A:$A,0)),"Lotação não existe na aba cnpj",IF(B183="","Sem CNPJ na aba cnpj","OK"))</f>
        <v>OK</v>
      </c>
    </row>
    <row r="184" customFormat="false" ht="15" hidden="false" customHeight="false" outlineLevel="0" collapsed="false">
      <c r="A184" s="4" t="n">
        <f aca="false">sisgi!A184</f>
        <v>13331</v>
      </c>
      <c r="B184" s="5" t="str">
        <f aca="false">IFERROR(IF(INDEX(cnpj!$B:$B,MATCH(A184,cnpj!$A:$A,0))="","",INDEX(cnpj!$B:$B,MATCH(A184,cnpj!$A:$A,0))),"")</f>
        <v>01.559.041/0001-85</v>
      </c>
      <c r="C184" s="5" t="str">
        <f aca="false">IF(B184="","",RIGHT("00000000000000"&amp;SUBSTITUTE(SUBSTITUTE(SUBSTITUTE(SUBSTITUTE(B184,".",""),"/",""),"-","")," ",""),14))</f>
        <v>01559041000185</v>
      </c>
      <c r="D184" s="5" t="str">
        <f aca="false">IF(C184="","",MID(C184,1,2)&amp;"."&amp;MID(C184,3,3)&amp;"."&amp;MID(C184,6,3)&amp;"/"&amp;MID(C184,9,4)&amp;"-"&amp;MID(C184,13,2))</f>
        <v>01.559.041/0001-85</v>
      </c>
      <c r="E184" s="4" t="str">
        <f aca="false">IF(ISNA(MATCH(A184,cnpj!$A:$A,0)),"Lotação não existe na aba cnpj",IF(B184="","Sem CNPJ na aba cnpj","OK"))</f>
        <v>OK</v>
      </c>
    </row>
    <row r="185" customFormat="false" ht="15" hidden="false" customHeight="false" outlineLevel="0" collapsed="false">
      <c r="A185" s="4" t="n">
        <f aca="false">sisgi!A185</f>
        <v>13340</v>
      </c>
      <c r="B185" s="5" t="str">
        <f aca="false">IFERROR(IF(INDEX(cnpj!$B:$B,MATCH(A185,cnpj!$A:$A,0))="","",INDEX(cnpj!$B:$B,MATCH(A185,cnpj!$A:$A,0))),"")</f>
        <v>01.395.687/0001-74</v>
      </c>
      <c r="C185" s="5" t="str">
        <f aca="false">IF(B185="","",RIGHT("00000000000000"&amp;SUBSTITUTE(SUBSTITUTE(SUBSTITUTE(SUBSTITUTE(B185,".",""),"/",""),"-","")," ",""),14))</f>
        <v>01395687000174</v>
      </c>
      <c r="D185" s="5" t="str">
        <f aca="false">IF(C185="","",MID(C185,1,2)&amp;"."&amp;MID(C185,3,3)&amp;"."&amp;MID(C185,6,3)&amp;"/"&amp;MID(C185,9,4)&amp;"-"&amp;MID(C185,13,2))</f>
        <v>01.395.687/0001-74</v>
      </c>
      <c r="E185" s="4" t="str">
        <f aca="false">IF(ISNA(MATCH(A185,cnpj!$A:$A,0)),"Lotação não existe na aba cnpj",IF(B185="","Sem CNPJ na aba cnpj","OK"))</f>
        <v>OK</v>
      </c>
    </row>
    <row r="186" customFormat="false" ht="15" hidden="false" customHeight="false" outlineLevel="0" collapsed="false">
      <c r="A186" s="4" t="n">
        <f aca="false">sisgi!A186</f>
        <v>13358</v>
      </c>
      <c r="B186" s="5" t="str">
        <f aca="false">IFERROR(IF(INDEX(cnpj!$B:$B,MATCH(A186,cnpj!$A:$A,0))="","",INDEX(cnpj!$B:$B,MATCH(A186,cnpj!$A:$A,0))),"")</f>
        <v>01.550.448/0001-41</v>
      </c>
      <c r="C186" s="5" t="str">
        <f aca="false">IF(B186="","",RIGHT("00000000000000"&amp;SUBSTITUTE(SUBSTITUTE(SUBSTITUTE(SUBSTITUTE(B186,".",""),"/",""),"-","")," ",""),14))</f>
        <v>01550448000141</v>
      </c>
      <c r="D186" s="5" t="str">
        <f aca="false">IF(C186="","",MID(C186,1,2)&amp;"."&amp;MID(C186,3,3)&amp;"."&amp;MID(C186,6,3)&amp;"/"&amp;MID(C186,9,4)&amp;"-"&amp;MID(C186,13,2))</f>
        <v>01.550.448/0001-41</v>
      </c>
      <c r="E186" s="4" t="str">
        <f aca="false">IF(ISNA(MATCH(A186,cnpj!$A:$A,0)),"Lotação não existe na aba cnpj",IF(B186="","Sem CNPJ na aba cnpj","OK"))</f>
        <v>OK</v>
      </c>
    </row>
    <row r="187" customFormat="false" ht="15" hidden="false" customHeight="false" outlineLevel="0" collapsed="false">
      <c r="A187" s="4" t="n">
        <f aca="false">sisgi!A187</f>
        <v>13366</v>
      </c>
      <c r="B187" s="5" t="str">
        <f aca="false">IFERROR(IF(INDEX(cnpj!$B:$B,MATCH(A187,cnpj!$A:$A,0))="","",INDEX(cnpj!$B:$B,MATCH(A187,cnpj!$A:$A,0))),"")</f>
        <v>01.395.683/0001-96</v>
      </c>
      <c r="C187" s="5" t="str">
        <f aca="false">IF(B187="","",RIGHT("00000000000000"&amp;SUBSTITUTE(SUBSTITUTE(SUBSTITUTE(SUBSTITUTE(B187,".",""),"/",""),"-","")," ",""),14))</f>
        <v>01395683000196</v>
      </c>
      <c r="D187" s="5" t="str">
        <f aca="false">IF(C187="","",MID(C187,1,2)&amp;"."&amp;MID(C187,3,3)&amp;"."&amp;MID(C187,6,3)&amp;"/"&amp;MID(C187,9,4)&amp;"-"&amp;MID(C187,13,2))</f>
        <v>01.395.683/0001-96</v>
      </c>
      <c r="E187" s="4" t="str">
        <f aca="false">IF(ISNA(MATCH(A187,cnpj!$A:$A,0)),"Lotação não existe na aba cnpj",IF(B187="","Sem CNPJ na aba cnpj","OK"))</f>
        <v>OK</v>
      </c>
    </row>
    <row r="188" customFormat="false" ht="15" hidden="false" customHeight="false" outlineLevel="0" collapsed="false">
      <c r="A188" s="4" t="n">
        <f aca="false">sisgi!A188</f>
        <v>13374</v>
      </c>
      <c r="B188" s="5" t="str">
        <f aca="false">IFERROR(IF(INDEX(cnpj!$B:$B,MATCH(A188,cnpj!$A:$A,0))="","",INDEX(cnpj!$B:$B,MATCH(A188,cnpj!$A:$A,0))),"")</f>
        <v>03.229.796/0001-47</v>
      </c>
      <c r="C188" s="5" t="str">
        <f aca="false">IF(B188="","",RIGHT("00000000000000"&amp;SUBSTITUTE(SUBSTITUTE(SUBSTITUTE(SUBSTITUTE(B188,".",""),"/",""),"-","")," ",""),14))</f>
        <v>03229796000147</v>
      </c>
      <c r="D188" s="5" t="str">
        <f aca="false">IF(C188="","",MID(C188,1,2)&amp;"."&amp;MID(C188,3,3)&amp;"."&amp;MID(C188,6,3)&amp;"/"&amp;MID(C188,9,4)&amp;"-"&amp;MID(C188,13,2))</f>
        <v>03.229.796/0001-47</v>
      </c>
      <c r="E188" s="4" t="str">
        <f aca="false">IF(ISNA(MATCH(A188,cnpj!$A:$A,0)),"Lotação não existe na aba cnpj",IF(B188="","Sem CNPJ na aba cnpj","OK"))</f>
        <v>OK</v>
      </c>
    </row>
    <row r="189" customFormat="false" ht="15" hidden="false" customHeight="false" outlineLevel="0" collapsed="false">
      <c r="A189" s="4" t="n">
        <f aca="false">sisgi!A189</f>
        <v>13404</v>
      </c>
      <c r="B189" s="5" t="str">
        <f aca="false">IFERROR(IF(INDEX(cnpj!$B:$B,MATCH(A189,cnpj!$A:$A,0))="","",INDEX(cnpj!$B:$B,MATCH(A189,cnpj!$A:$A,0))),"")</f>
        <v>01.491.853/0001-36</v>
      </c>
      <c r="C189" s="5" t="str">
        <f aca="false">IF(B189="","",RIGHT("00000000000000"&amp;SUBSTITUTE(SUBSTITUTE(SUBSTITUTE(SUBSTITUTE(B189,".",""),"/",""),"-","")," ",""),14))</f>
        <v>01491853000136</v>
      </c>
      <c r="D189" s="5" t="str">
        <f aca="false">IF(C189="","",MID(C189,1,2)&amp;"."&amp;MID(C189,3,3)&amp;"."&amp;MID(C189,6,3)&amp;"/"&amp;MID(C189,9,4)&amp;"-"&amp;MID(C189,13,2))</f>
        <v>01.491.853/0001-36</v>
      </c>
      <c r="E189" s="4" t="str">
        <f aca="false">IF(ISNA(MATCH(A189,cnpj!$A:$A,0)),"Lotação não existe na aba cnpj",IF(B189="","Sem CNPJ na aba cnpj","OK"))</f>
        <v>OK</v>
      </c>
    </row>
    <row r="190" customFormat="false" ht="15" hidden="false" customHeight="false" outlineLevel="0" collapsed="false">
      <c r="A190" s="4" t="n">
        <f aca="false">sisgi!A190</f>
        <v>13412</v>
      </c>
      <c r="B190" s="5" t="str">
        <f aca="false">IFERROR(IF(INDEX(cnpj!$B:$B,MATCH(A190,cnpj!$A:$A,0))="","",INDEX(cnpj!$B:$B,MATCH(A190,cnpj!$A:$A,0))),"")</f>
        <v>01.526.299/0001-85</v>
      </c>
      <c r="C190" s="5" t="str">
        <f aca="false">IF(B190="","",RIGHT("00000000000000"&amp;SUBSTITUTE(SUBSTITUTE(SUBSTITUTE(SUBSTITUTE(B190,".",""),"/",""),"-","")," ",""),14))</f>
        <v>01526299000185</v>
      </c>
      <c r="D190" s="5" t="str">
        <f aca="false">IF(C190="","",MID(C190,1,2)&amp;"."&amp;MID(C190,3,3)&amp;"."&amp;MID(C190,6,3)&amp;"/"&amp;MID(C190,9,4)&amp;"-"&amp;MID(C190,13,2))</f>
        <v>01.526.299/0001-85</v>
      </c>
      <c r="E190" s="4" t="str">
        <f aca="false">IF(ISNA(MATCH(A190,cnpj!$A:$A,0)),"Lotação não existe na aba cnpj",IF(B190="","Sem CNPJ na aba cnpj","OK"))</f>
        <v>OK</v>
      </c>
    </row>
    <row r="191" customFormat="false" ht="15" hidden="false" customHeight="false" outlineLevel="0" collapsed="false">
      <c r="A191" s="4" t="n">
        <f aca="false">sisgi!A191</f>
        <v>13420</v>
      </c>
      <c r="B191" s="5" t="str">
        <f aca="false">IFERROR(IF(INDEX(cnpj!$B:$B,MATCH(A191,cnpj!$A:$A,0))="","",INDEX(cnpj!$B:$B,MATCH(A191,cnpj!$A:$A,0))),"")</f>
        <v>01.702.177/0001-00</v>
      </c>
      <c r="C191" s="5" t="str">
        <f aca="false">IF(B191="","",RIGHT("00000000000000"&amp;SUBSTITUTE(SUBSTITUTE(SUBSTITUTE(SUBSTITUTE(B191,".",""),"/",""),"-","")," ",""),14))</f>
        <v>01702177000100</v>
      </c>
      <c r="D191" s="5" t="str">
        <f aca="false">IF(C191="","",MID(C191,1,2)&amp;"."&amp;MID(C191,3,3)&amp;"."&amp;MID(C191,6,3)&amp;"/"&amp;MID(C191,9,4)&amp;"-"&amp;MID(C191,13,2))</f>
        <v>01.702.177/0001-00</v>
      </c>
      <c r="E191" s="4" t="str">
        <f aca="false">IF(ISNA(MATCH(A191,cnpj!$A:$A,0)),"Lotação não existe na aba cnpj",IF(B191="","Sem CNPJ na aba cnpj","OK"))</f>
        <v>OK</v>
      </c>
    </row>
    <row r="192" customFormat="false" ht="15" hidden="false" customHeight="false" outlineLevel="0" collapsed="false">
      <c r="A192" s="4" t="n">
        <f aca="false">sisgi!A192</f>
        <v>13455</v>
      </c>
      <c r="B192" s="5" t="str">
        <f aca="false">IFERROR(IF(INDEX(cnpj!$B:$B,MATCH(A192,cnpj!$A:$A,0))="","",INDEX(cnpj!$B:$B,MATCH(A192,cnpj!$A:$A,0))),"")</f>
        <v>01.609.147/0001-46</v>
      </c>
      <c r="C192" s="5" t="str">
        <f aca="false">IF(B192="","",RIGHT("00000000000000"&amp;SUBSTITUTE(SUBSTITUTE(SUBSTITUTE(SUBSTITUTE(B192,".",""),"/",""),"-","")," ",""),14))</f>
        <v>01609147000146</v>
      </c>
      <c r="D192" s="5" t="str">
        <f aca="false">IF(C192="","",MID(C192,1,2)&amp;"."&amp;MID(C192,3,3)&amp;"."&amp;MID(C192,6,3)&amp;"/"&amp;MID(C192,9,4)&amp;"-"&amp;MID(C192,13,2))</f>
        <v>01.609.147/0001-46</v>
      </c>
      <c r="E192" s="4" t="str">
        <f aca="false">IF(ISNA(MATCH(A192,cnpj!$A:$A,0)),"Lotação não existe na aba cnpj",IF(B192="","Sem CNPJ na aba cnpj","OK"))</f>
        <v>OK</v>
      </c>
    </row>
    <row r="193" customFormat="false" ht="15" hidden="false" customHeight="false" outlineLevel="0" collapsed="false">
      <c r="A193" s="4" t="n">
        <f aca="false">sisgi!A193</f>
        <v>13471</v>
      </c>
      <c r="B193" s="5" t="str">
        <f aca="false">IFERROR(IF(INDEX(cnpj!$B:$B,MATCH(A193,cnpj!$A:$A,0))="","",INDEX(cnpj!$B:$B,MATCH(A193,cnpj!$A:$A,0))),"")</f>
        <v>01.552.589/0001-01</v>
      </c>
      <c r="C193" s="5" t="str">
        <f aca="false">IF(B193="","",RIGHT("00000000000000"&amp;SUBSTITUTE(SUBSTITUTE(SUBSTITUTE(SUBSTITUTE(B193,".",""),"/",""),"-","")," ",""),14))</f>
        <v>01552589000101</v>
      </c>
      <c r="D193" s="5" t="str">
        <f aca="false">IF(C193="","",MID(C193,1,2)&amp;"."&amp;MID(C193,3,3)&amp;"."&amp;MID(C193,6,3)&amp;"/"&amp;MID(C193,9,4)&amp;"-"&amp;MID(C193,13,2))</f>
        <v>01.552.589/0001-01</v>
      </c>
      <c r="E193" s="4" t="str">
        <f aca="false">IF(ISNA(MATCH(A193,cnpj!$A:$A,0)),"Lotação não existe na aba cnpj",IF(B193="","Sem CNPJ na aba cnpj","OK"))</f>
        <v>OK</v>
      </c>
    </row>
    <row r="194" customFormat="false" ht="15" hidden="false" customHeight="false" outlineLevel="0" collapsed="false">
      <c r="A194" s="4" t="n">
        <f aca="false">sisgi!A194</f>
        <v>13498</v>
      </c>
      <c r="B194" s="5" t="str">
        <f aca="false">IFERROR(IF(INDEX(cnpj!$B:$B,MATCH(A194,cnpj!$A:$A,0))="","",INDEX(cnpj!$B:$B,MATCH(A194,cnpj!$A:$A,0))),"")</f>
        <v>01.624.172/0001-07</v>
      </c>
      <c r="C194" s="5" t="str">
        <f aca="false">IF(B194="","",RIGHT("00000000000000"&amp;SUBSTITUTE(SUBSTITUTE(SUBSTITUTE(SUBSTITUTE(B194,".",""),"/",""),"-","")," ",""),14))</f>
        <v>01624172000107</v>
      </c>
      <c r="D194" s="5" t="str">
        <f aca="false">IF(C194="","",MID(C194,1,2)&amp;"."&amp;MID(C194,3,3)&amp;"."&amp;MID(C194,6,3)&amp;"/"&amp;MID(C194,9,4)&amp;"-"&amp;MID(C194,13,2))</f>
        <v>01.624.172/0001-07</v>
      </c>
      <c r="E194" s="4" t="str">
        <f aca="false">IF(ISNA(MATCH(A194,cnpj!$A:$A,0)),"Lotação não existe na aba cnpj",IF(B194="","Sem CNPJ na aba cnpj","OK"))</f>
        <v>OK</v>
      </c>
    </row>
    <row r="195" customFormat="false" ht="15" hidden="false" customHeight="false" outlineLevel="0" collapsed="false">
      <c r="A195" s="4" t="n">
        <f aca="false">sisgi!A195</f>
        <v>13528</v>
      </c>
      <c r="B195" s="5" t="str">
        <f aca="false">IFERROR(IF(INDEX(cnpj!$B:$B,MATCH(A195,cnpj!$A:$A,0))="","",INDEX(cnpj!$B:$B,MATCH(A195,cnpj!$A:$A,0))),"")</f>
        <v>02.105.754/0001-31</v>
      </c>
      <c r="C195" s="5" t="str">
        <f aca="false">IF(B195="","",RIGHT("00000000000000"&amp;SUBSTITUTE(SUBSTITUTE(SUBSTITUTE(SUBSTITUTE(B195,".",""),"/",""),"-","")," ",""),14))</f>
        <v>02105754000131</v>
      </c>
      <c r="D195" s="5" t="str">
        <f aca="false">IF(C195="","",MID(C195,1,2)&amp;"."&amp;MID(C195,3,3)&amp;"."&amp;MID(C195,6,3)&amp;"/"&amp;MID(C195,9,4)&amp;"-"&amp;MID(C195,13,2))</f>
        <v>02.105.754/0001-31</v>
      </c>
      <c r="E195" s="4" t="str">
        <f aca="false">IF(ISNA(MATCH(A195,cnpj!$A:$A,0)),"Lotação não existe na aba cnpj",IF(B195="","Sem CNPJ na aba cnpj","OK"))</f>
        <v>OK</v>
      </c>
    </row>
    <row r="196" customFormat="false" ht="15" hidden="false" customHeight="false" outlineLevel="0" collapsed="false">
      <c r="A196" s="4" t="n">
        <f aca="false">sisgi!A196</f>
        <v>13536</v>
      </c>
      <c r="B196" s="5" t="str">
        <f aca="false">IFERROR(IF(INDEX(cnpj!$B:$B,MATCH(A196,cnpj!$A:$A,0))="","",INDEX(cnpj!$B:$B,MATCH(A196,cnpj!$A:$A,0))),"")</f>
        <v>01.970.247/0001-01</v>
      </c>
      <c r="C196" s="5" t="str">
        <f aca="false">IF(B196="","",RIGHT("00000000000000"&amp;SUBSTITUTE(SUBSTITUTE(SUBSTITUTE(SUBSTITUTE(B196,".",""),"/",""),"-","")," ",""),14))</f>
        <v>01970247000101</v>
      </c>
      <c r="D196" s="5" t="str">
        <f aca="false">IF(C196="","",MID(C196,1,2)&amp;"."&amp;MID(C196,3,3)&amp;"."&amp;MID(C196,6,3)&amp;"/"&amp;MID(C196,9,4)&amp;"-"&amp;MID(C196,13,2))</f>
        <v>01.970.247/0001-01</v>
      </c>
      <c r="E196" s="4" t="str">
        <f aca="false">IF(ISNA(MATCH(A196,cnpj!$A:$A,0)),"Lotação não existe na aba cnpj",IF(B196="","Sem CNPJ na aba cnpj","OK"))</f>
        <v>OK</v>
      </c>
    </row>
    <row r="197" customFormat="false" ht="15" hidden="false" customHeight="false" outlineLevel="0" collapsed="false">
      <c r="A197" s="4" t="n">
        <f aca="false">sisgi!A197</f>
        <v>13544</v>
      </c>
      <c r="B197" s="5" t="str">
        <f aca="false">IFERROR(IF(INDEX(cnpj!$B:$B,MATCH(A197,cnpj!$A:$A,0))="","",INDEX(cnpj!$B:$B,MATCH(A197,cnpj!$A:$A,0))),"")</f>
        <v>01.931.547/0001-73</v>
      </c>
      <c r="C197" s="5" t="str">
        <f aca="false">IF(B197="","",RIGHT("00000000000000"&amp;SUBSTITUTE(SUBSTITUTE(SUBSTITUTE(SUBSTITUTE(B197,".",""),"/",""),"-","")," ",""),14))</f>
        <v>01931547000173</v>
      </c>
      <c r="D197" s="5" t="str">
        <f aca="false">IF(C197="","",MID(C197,1,2)&amp;"."&amp;MID(C197,3,3)&amp;"."&amp;MID(C197,6,3)&amp;"/"&amp;MID(C197,9,4)&amp;"-"&amp;MID(C197,13,2))</f>
        <v>01.931.547/0001-73</v>
      </c>
      <c r="E197" s="4" t="str">
        <f aca="false">IF(ISNA(MATCH(A197,cnpj!$A:$A,0)),"Lotação não existe na aba cnpj",IF(B197="","Sem CNPJ na aba cnpj","OK"))</f>
        <v>OK</v>
      </c>
    </row>
    <row r="198" customFormat="false" ht="15" hidden="false" customHeight="false" outlineLevel="0" collapsed="false">
      <c r="A198" s="4" t="n">
        <f aca="false">sisgi!A198</f>
        <v>13552</v>
      </c>
      <c r="B198" s="5" t="str">
        <f aca="false">IFERROR(IF(INDEX(cnpj!$B:$B,MATCH(A198,cnpj!$A:$A,0))="","",INDEX(cnpj!$B:$B,MATCH(A198,cnpj!$A:$A,0))),"")</f>
        <v>02.531.418/0001-50</v>
      </c>
      <c r="C198" s="5" t="str">
        <f aca="false">IF(B198="","",RIGHT("00000000000000"&amp;SUBSTITUTE(SUBSTITUTE(SUBSTITUTE(SUBSTITUTE(B198,".",""),"/",""),"-","")," ",""),14))</f>
        <v>02531418000150</v>
      </c>
      <c r="D198" s="5" t="str">
        <f aca="false">IF(C198="","",MID(C198,1,2)&amp;"."&amp;MID(C198,3,3)&amp;"."&amp;MID(C198,6,3)&amp;"/"&amp;MID(C198,9,4)&amp;"-"&amp;MID(C198,13,2))</f>
        <v>02.531.418/0001-50</v>
      </c>
      <c r="E198" s="4" t="str">
        <f aca="false">IF(ISNA(MATCH(A198,cnpj!$A:$A,0)),"Lotação não existe na aba cnpj",IF(B198="","Sem CNPJ na aba cnpj","OK"))</f>
        <v>OK</v>
      </c>
    </row>
    <row r="199" customFormat="false" ht="15" hidden="false" customHeight="false" outlineLevel="0" collapsed="false">
      <c r="A199" s="4" t="n">
        <f aca="false">sisgi!A199</f>
        <v>13560</v>
      </c>
      <c r="B199" s="5" t="str">
        <f aca="false">IFERROR(IF(INDEX(cnpj!$B:$B,MATCH(A199,cnpj!$A:$A,0))="","",INDEX(cnpj!$B:$B,MATCH(A199,cnpj!$A:$A,0))),"")</f>
        <v>01.309.915/0001-46</v>
      </c>
      <c r="C199" s="5" t="str">
        <f aca="false">IF(B199="","",RIGHT("00000000000000"&amp;SUBSTITUTE(SUBSTITUTE(SUBSTITUTE(SUBSTITUTE(B199,".",""),"/",""),"-","")," ",""),14))</f>
        <v>01309915000146</v>
      </c>
      <c r="D199" s="5" t="str">
        <f aca="false">IF(C199="","",MID(C199,1,2)&amp;"."&amp;MID(C199,3,3)&amp;"."&amp;MID(C199,6,3)&amp;"/"&amp;MID(C199,9,4)&amp;"-"&amp;MID(C199,13,2))</f>
        <v>01.309.915/0001-46</v>
      </c>
      <c r="E199" s="4" t="str">
        <f aca="false">IF(ISNA(MATCH(A199,cnpj!$A:$A,0)),"Lotação não existe na aba cnpj",IF(B199="","Sem CNPJ na aba cnpj","OK"))</f>
        <v>OK</v>
      </c>
    </row>
    <row r="200" customFormat="false" ht="15" hidden="false" customHeight="false" outlineLevel="0" collapsed="false">
      <c r="A200" s="4" t="n">
        <f aca="false">sisgi!A200</f>
        <v>13595</v>
      </c>
      <c r="B200" s="5" t="str">
        <f aca="false">IFERROR(IF(INDEX(cnpj!$B:$B,MATCH(A200,cnpj!$A:$A,0))="","",INDEX(cnpj!$B:$B,MATCH(A200,cnpj!$A:$A,0))),"")</f>
        <v>02.238.462/0001-77</v>
      </c>
      <c r="C200" s="5" t="str">
        <f aca="false">IF(B200="","",RIGHT("00000000000000"&amp;SUBSTITUTE(SUBSTITUTE(SUBSTITUTE(SUBSTITUTE(B200,".",""),"/",""),"-","")," ",""),14))</f>
        <v>02238462000177</v>
      </c>
      <c r="D200" s="5" t="str">
        <f aca="false">IF(C200="","",MID(C200,1,2)&amp;"."&amp;MID(C200,3,3)&amp;"."&amp;MID(C200,6,3)&amp;"/"&amp;MID(C200,9,4)&amp;"-"&amp;MID(C200,13,2))</f>
        <v>02.238.462/0001-77</v>
      </c>
      <c r="E200" s="4" t="str">
        <f aca="false">IF(ISNA(MATCH(A200,cnpj!$A:$A,0)),"Lotação não existe na aba cnpj",IF(B200="","Sem CNPJ na aba cnpj","OK"))</f>
        <v>OK</v>
      </c>
    </row>
    <row r="201" customFormat="false" ht="15" hidden="false" customHeight="false" outlineLevel="0" collapsed="false">
      <c r="A201" s="4" t="n">
        <f aca="false">sisgi!A201</f>
        <v>13609</v>
      </c>
      <c r="B201" s="5" t="str">
        <f aca="false">IFERROR(IF(INDEX(cnpj!$B:$B,MATCH(A201,cnpj!$A:$A,0))="","",INDEX(cnpj!$B:$B,MATCH(A201,cnpj!$A:$A,0))),"")</f>
        <v>01.955.275/0001-41</v>
      </c>
      <c r="C201" s="5" t="str">
        <f aca="false">IF(B201="","",RIGHT("00000000000000"&amp;SUBSTITUTE(SUBSTITUTE(SUBSTITUTE(SUBSTITUTE(B201,".",""),"/",""),"-","")," ",""),14))</f>
        <v>01955275000141</v>
      </c>
      <c r="D201" s="5" t="str">
        <f aca="false">IF(C201="","",MID(C201,1,2)&amp;"."&amp;MID(C201,3,3)&amp;"."&amp;MID(C201,6,3)&amp;"/"&amp;MID(C201,9,4)&amp;"-"&amp;MID(C201,13,2))</f>
        <v>01.955.275/0001-41</v>
      </c>
      <c r="E201" s="4" t="str">
        <f aca="false">IF(ISNA(MATCH(A201,cnpj!$A:$A,0)),"Lotação não existe na aba cnpj",IF(B201="","Sem CNPJ na aba cnpj","OK"))</f>
        <v>OK</v>
      </c>
    </row>
    <row r="202" customFormat="false" ht="15" hidden="false" customHeight="false" outlineLevel="0" collapsed="false">
      <c r="A202" s="4" t="n">
        <f aca="false">sisgi!A202</f>
        <v>13617</v>
      </c>
      <c r="B202" s="5" t="str">
        <f aca="false">IFERROR(IF(INDEX(cnpj!$B:$B,MATCH(A202,cnpj!$A:$A,0))="","",INDEX(cnpj!$B:$B,MATCH(A202,cnpj!$A:$A,0))),"")</f>
        <v>02.507.086/0001-79</v>
      </c>
      <c r="C202" s="5" t="str">
        <f aca="false">IF(B202="","",RIGHT("00000000000000"&amp;SUBSTITUTE(SUBSTITUTE(SUBSTITUTE(SUBSTITUTE(B202,".",""),"/",""),"-","")," ",""),14))</f>
        <v>02507086000179</v>
      </c>
      <c r="D202" s="5" t="str">
        <f aca="false">IF(C202="","",MID(C202,1,2)&amp;"."&amp;MID(C202,3,3)&amp;"."&amp;MID(C202,6,3)&amp;"/"&amp;MID(C202,9,4)&amp;"-"&amp;MID(C202,13,2))</f>
        <v>02.507.086/0001-79</v>
      </c>
      <c r="E202" s="4" t="str">
        <f aca="false">IF(ISNA(MATCH(A202,cnpj!$A:$A,0)),"Lotação não existe na aba cnpj",IF(B202="","Sem CNPJ na aba cnpj","OK"))</f>
        <v>OK</v>
      </c>
    </row>
    <row r="203" customFormat="false" ht="15" hidden="false" customHeight="false" outlineLevel="0" collapsed="false">
      <c r="A203" s="4" t="n">
        <f aca="false">sisgi!A203</f>
        <v>13625</v>
      </c>
      <c r="B203" s="5" t="str">
        <f aca="false">IFERROR(IF(INDEX(cnpj!$B:$B,MATCH(A203,cnpj!$A:$A,0))="","",INDEX(cnpj!$B:$B,MATCH(A203,cnpj!$A:$A,0))),"")</f>
        <v>01.909.103/0001-31</v>
      </c>
      <c r="C203" s="5" t="str">
        <f aca="false">IF(B203="","",RIGHT("00000000000000"&amp;SUBSTITUTE(SUBSTITUTE(SUBSTITUTE(SUBSTITUTE(B203,".",""),"/",""),"-","")," ",""),14))</f>
        <v>01909103000131</v>
      </c>
      <c r="D203" s="5" t="str">
        <f aca="false">IF(C203="","",MID(C203,1,2)&amp;"."&amp;MID(C203,3,3)&amp;"."&amp;MID(C203,6,3)&amp;"/"&amp;MID(C203,9,4)&amp;"-"&amp;MID(C203,13,2))</f>
        <v>01.909.103/0001-31</v>
      </c>
      <c r="E203" s="4" t="str">
        <f aca="false">IF(ISNA(MATCH(A203,cnpj!$A:$A,0)),"Lotação não existe na aba cnpj",IF(B203="","Sem CNPJ na aba cnpj","OK"))</f>
        <v>OK</v>
      </c>
    </row>
    <row r="204" customFormat="false" ht="15" hidden="false" customHeight="false" outlineLevel="0" collapsed="false">
      <c r="A204" s="4" t="n">
        <f aca="false">sisgi!A204</f>
        <v>13633</v>
      </c>
      <c r="B204" s="5" t="str">
        <f aca="false">IFERROR(IF(INDEX(cnpj!$B:$B,MATCH(A204,cnpj!$A:$A,0))="","",INDEX(cnpj!$B:$B,MATCH(A204,cnpj!$A:$A,0))),"")</f>
        <v>02.735.958/0001-56</v>
      </c>
      <c r="C204" s="5" t="str">
        <f aca="false">IF(B204="","",RIGHT("00000000000000"&amp;SUBSTITUTE(SUBSTITUTE(SUBSTITUTE(SUBSTITUTE(B204,".",""),"/",""),"-","")," ",""),14))</f>
        <v>02735958000156</v>
      </c>
      <c r="D204" s="5" t="str">
        <f aca="false">IF(C204="","",MID(C204,1,2)&amp;"."&amp;MID(C204,3,3)&amp;"."&amp;MID(C204,6,3)&amp;"/"&amp;MID(C204,9,4)&amp;"-"&amp;MID(C204,13,2))</f>
        <v>02.735.958/0001-56</v>
      </c>
      <c r="E204" s="4" t="str">
        <f aca="false">IF(ISNA(MATCH(A204,cnpj!$A:$A,0)),"Lotação não existe na aba cnpj",IF(B204="","Sem CNPJ na aba cnpj","OK"))</f>
        <v>OK</v>
      </c>
    </row>
    <row r="205" customFormat="false" ht="15" hidden="false" customHeight="false" outlineLevel="0" collapsed="false">
      <c r="A205" s="4" t="n">
        <f aca="false">sisgi!A205</f>
        <v>13641</v>
      </c>
      <c r="B205" s="5" t="str">
        <f aca="false">IFERROR(IF(INDEX(cnpj!$B:$B,MATCH(A205,cnpj!$A:$A,0))="","",INDEX(cnpj!$B:$B,MATCH(A205,cnpj!$A:$A,0))),"")</f>
        <v>01.955.276/0001-96</v>
      </c>
      <c r="C205" s="5" t="str">
        <f aca="false">IF(B205="","",RIGHT("00000000000000"&amp;SUBSTITUTE(SUBSTITUTE(SUBSTITUTE(SUBSTITUTE(B205,".",""),"/",""),"-","")," ",""),14))</f>
        <v>01955276000196</v>
      </c>
      <c r="D205" s="5" t="str">
        <f aca="false">IF(C205="","",MID(C205,1,2)&amp;"."&amp;MID(C205,3,3)&amp;"."&amp;MID(C205,6,3)&amp;"/"&amp;MID(C205,9,4)&amp;"-"&amp;MID(C205,13,2))</f>
        <v>01.955.276/0001-96</v>
      </c>
      <c r="E205" s="4" t="str">
        <f aca="false">IF(ISNA(MATCH(A205,cnpj!$A:$A,0)),"Lotação não existe na aba cnpj",IF(B205="","Sem CNPJ na aba cnpj","OK"))</f>
        <v>OK</v>
      </c>
    </row>
    <row r="206" customFormat="false" ht="15" hidden="false" customHeight="false" outlineLevel="0" collapsed="false">
      <c r="A206" s="4" t="n">
        <f aca="false">sisgi!A206</f>
        <v>13692</v>
      </c>
      <c r="B206" s="5" t="str">
        <f aca="false">IFERROR(IF(INDEX(cnpj!$B:$B,MATCH(A206,cnpj!$A:$A,0))="","",INDEX(cnpj!$B:$B,MATCH(A206,cnpj!$A:$A,0))),"")</f>
        <v>03.861.225/0001-20</v>
      </c>
      <c r="C206" s="5" t="str">
        <f aca="false">IF(B206="","",RIGHT("00000000000000"&amp;SUBSTITUTE(SUBSTITUTE(SUBSTITUTE(SUBSTITUTE(B206,".",""),"/",""),"-","")," ",""),14))</f>
        <v>03861225000120</v>
      </c>
      <c r="D206" s="5" t="str">
        <f aca="false">IF(C206="","",MID(C206,1,2)&amp;"."&amp;MID(C206,3,3)&amp;"."&amp;MID(C206,6,3)&amp;"/"&amp;MID(C206,9,4)&amp;"-"&amp;MID(C206,13,2))</f>
        <v>03.861.225/0001-20</v>
      </c>
      <c r="E206" s="4" t="str">
        <f aca="false">IF(ISNA(MATCH(A206,cnpj!$A:$A,0)),"Lotação não existe na aba cnpj",IF(B206="","Sem CNPJ na aba cnpj","OK"))</f>
        <v>OK</v>
      </c>
    </row>
    <row r="207" customFormat="false" ht="15" hidden="false" customHeight="false" outlineLevel="0" collapsed="false">
      <c r="A207" s="4" t="n">
        <f aca="false">sisgi!A207</f>
        <v>13706</v>
      </c>
      <c r="B207" s="5" t="str">
        <f aca="false">IFERROR(IF(INDEX(cnpj!$B:$B,MATCH(A207,cnpj!$A:$A,0))="","",INDEX(cnpj!$B:$B,MATCH(A207,cnpj!$A:$A,0))),"")</f>
        <v>03.689.395/0001-70</v>
      </c>
      <c r="C207" s="5" t="str">
        <f aca="false">IF(B207="","",RIGHT("00000000000000"&amp;SUBSTITUTE(SUBSTITUTE(SUBSTITUTE(SUBSTITUTE(B207,".",""),"/",""),"-","")," ",""),14))</f>
        <v>03689395000170</v>
      </c>
      <c r="D207" s="5" t="str">
        <f aca="false">IF(C207="","",MID(C207,1,2)&amp;"."&amp;MID(C207,3,3)&amp;"."&amp;MID(C207,6,3)&amp;"/"&amp;MID(C207,9,4)&amp;"-"&amp;MID(C207,13,2))</f>
        <v>03.689.395/0001-70</v>
      </c>
      <c r="E207" s="4" t="str">
        <f aca="false">IF(ISNA(MATCH(A207,cnpj!$A:$A,0)),"Lotação não existe na aba cnpj",IF(B207="","Sem CNPJ na aba cnpj","OK"))</f>
        <v>OK</v>
      </c>
    </row>
    <row r="208" customFormat="false" ht="15" hidden="false" customHeight="false" outlineLevel="0" collapsed="false">
      <c r="A208" s="4" t="n">
        <f aca="false">sisgi!A208</f>
        <v>13730</v>
      </c>
      <c r="B208" s="5" t="str">
        <f aca="false">IFERROR(IF(INDEX(cnpj!$B:$B,MATCH(A208,cnpj!$A:$A,0))="","",INDEX(cnpj!$B:$B,MATCH(A208,cnpj!$A:$A,0))),"")</f>
        <v>03.150.450/0001-59</v>
      </c>
      <c r="C208" s="5" t="str">
        <f aca="false">IF(B208="","",RIGHT("00000000000000"&amp;SUBSTITUTE(SUBSTITUTE(SUBSTITUTE(SUBSTITUTE(B208,".",""),"/",""),"-","")," ",""),14))</f>
        <v>03150450000159</v>
      </c>
      <c r="D208" s="5" t="str">
        <f aca="false">IF(C208="","",MID(C208,1,2)&amp;"."&amp;MID(C208,3,3)&amp;"."&amp;MID(C208,6,3)&amp;"/"&amp;MID(C208,9,4)&amp;"-"&amp;MID(C208,13,2))</f>
        <v>03.150.450/0001-59</v>
      </c>
      <c r="E208" s="4" t="str">
        <f aca="false">IF(ISNA(MATCH(A208,cnpj!$A:$A,0)),"Lotação não existe na aba cnpj",IF(B208="","Sem CNPJ na aba cnpj","OK"))</f>
        <v>OK</v>
      </c>
    </row>
    <row r="209" customFormat="false" ht="15" hidden="false" customHeight="false" outlineLevel="0" collapsed="false">
      <c r="A209" s="4" t="n">
        <f aca="false">sisgi!A209</f>
        <v>13757</v>
      </c>
      <c r="B209" s="5" t="str">
        <f aca="false">IFERROR(IF(INDEX(cnpj!$B:$B,MATCH(A209,cnpj!$A:$A,0))="","",INDEX(cnpj!$B:$B,MATCH(A209,cnpj!$A:$A,0))),"")</f>
        <v>02.399.812/0001-87</v>
      </c>
      <c r="C209" s="5" t="str">
        <f aca="false">IF(B209="","",RIGHT("00000000000000"&amp;SUBSTITUTE(SUBSTITUTE(SUBSTITUTE(SUBSTITUTE(B209,".",""),"/",""),"-","")," ",""),14))</f>
        <v>02399812000187</v>
      </c>
      <c r="D209" s="5" t="str">
        <f aca="false">IF(C209="","",MID(C209,1,2)&amp;"."&amp;MID(C209,3,3)&amp;"."&amp;MID(C209,6,3)&amp;"/"&amp;MID(C209,9,4)&amp;"-"&amp;MID(C209,13,2))</f>
        <v>02.399.812/0001-87</v>
      </c>
      <c r="E209" s="4" t="str">
        <f aca="false">IF(ISNA(MATCH(A209,cnpj!$A:$A,0)),"Lotação não existe na aba cnpj",IF(B209="","Sem CNPJ na aba cnpj","OK"))</f>
        <v>OK</v>
      </c>
    </row>
    <row r="210" customFormat="false" ht="15" hidden="false" customHeight="false" outlineLevel="0" collapsed="false">
      <c r="A210" s="4" t="n">
        <f aca="false">sisgi!A210</f>
        <v>13765</v>
      </c>
      <c r="B210" s="5" t="str">
        <f aca="false">IFERROR(IF(INDEX(cnpj!$B:$B,MATCH(A210,cnpj!$A:$A,0))="","",INDEX(cnpj!$B:$B,MATCH(A210,cnpj!$A:$A,0))),"")</f>
        <v>02.495.965/0001-28</v>
      </c>
      <c r="C210" s="5" t="str">
        <f aca="false">IF(B210="","",RIGHT("00000000000000"&amp;SUBSTITUTE(SUBSTITUTE(SUBSTITUTE(SUBSTITUTE(B210,".",""),"/",""),"-","")," ",""),14))</f>
        <v>02495965000128</v>
      </c>
      <c r="D210" s="5" t="str">
        <f aca="false">IF(C210="","",MID(C210,1,2)&amp;"."&amp;MID(C210,3,3)&amp;"."&amp;MID(C210,6,3)&amp;"/"&amp;MID(C210,9,4)&amp;"-"&amp;MID(C210,13,2))</f>
        <v>02.495.965/0001-28</v>
      </c>
      <c r="E210" s="4" t="str">
        <f aca="false">IF(ISNA(MATCH(A210,cnpj!$A:$A,0)),"Lotação não existe na aba cnpj",IF(B210="","Sem CNPJ na aba cnpj","OK"))</f>
        <v>OK</v>
      </c>
    </row>
    <row r="211" customFormat="false" ht="15" hidden="false" customHeight="false" outlineLevel="0" collapsed="false">
      <c r="A211" s="4" t="n">
        <f aca="false">sisgi!A211</f>
        <v>13773</v>
      </c>
      <c r="B211" s="5" t="str">
        <f aca="false">IFERROR(IF(INDEX(cnpj!$B:$B,MATCH(A211,cnpj!$A:$A,0))="","",INDEX(cnpj!$B:$B,MATCH(A211,cnpj!$A:$A,0))),"")</f>
        <v>03.175.218/0001-75</v>
      </c>
      <c r="C211" s="5" t="str">
        <f aca="false">IF(B211="","",RIGHT("00000000000000"&amp;SUBSTITUTE(SUBSTITUTE(SUBSTITUTE(SUBSTITUTE(B211,".",""),"/",""),"-","")," ",""),14))</f>
        <v>03175218000175</v>
      </c>
      <c r="D211" s="5" t="str">
        <f aca="false">IF(C211="","",MID(C211,1,2)&amp;"."&amp;MID(C211,3,3)&amp;"."&amp;MID(C211,6,3)&amp;"/"&amp;MID(C211,9,4)&amp;"-"&amp;MID(C211,13,2))</f>
        <v>03.175.218/0001-75</v>
      </c>
      <c r="E211" s="4" t="str">
        <f aca="false">IF(ISNA(MATCH(A211,cnpj!$A:$A,0)),"Lotação não existe na aba cnpj",IF(B211="","Sem CNPJ na aba cnpj","OK"))</f>
        <v>OK</v>
      </c>
    </row>
    <row r="212" customFormat="false" ht="15" hidden="false" customHeight="false" outlineLevel="0" collapsed="false">
      <c r="A212" s="4" t="n">
        <f aca="false">sisgi!A212</f>
        <v>13781</v>
      </c>
      <c r="B212" s="5" t="str">
        <f aca="false">IFERROR(IF(INDEX(cnpj!$B:$B,MATCH(A212,cnpj!$A:$A,0))="","",INDEX(cnpj!$B:$B,MATCH(A212,cnpj!$A:$A,0))),"")</f>
        <v>03.175.206/0001-40</v>
      </c>
      <c r="C212" s="5" t="str">
        <f aca="false">IF(B212="","",RIGHT("00000000000000"&amp;SUBSTITUTE(SUBSTITUTE(SUBSTITUTE(SUBSTITUTE(B212,".",""),"/",""),"-","")," ",""),14))</f>
        <v>03175206000140</v>
      </c>
      <c r="D212" s="5" t="str">
        <f aca="false">IF(C212="","",MID(C212,1,2)&amp;"."&amp;MID(C212,3,3)&amp;"."&amp;MID(C212,6,3)&amp;"/"&amp;MID(C212,9,4)&amp;"-"&amp;MID(C212,13,2))</f>
        <v>03.175.206/0001-40</v>
      </c>
      <c r="E212" s="4" t="str">
        <f aca="false">IF(ISNA(MATCH(A212,cnpj!$A:$A,0)),"Lotação não existe na aba cnpj",IF(B212="","Sem CNPJ na aba cnpj","OK"))</f>
        <v>OK</v>
      </c>
    </row>
    <row r="213" customFormat="false" ht="15" hidden="false" customHeight="false" outlineLevel="0" collapsed="false">
      <c r="A213" s="4" t="n">
        <f aca="false">sisgi!A213</f>
        <v>13803</v>
      </c>
      <c r="B213" s="5" t="str">
        <f aca="false">IFERROR(IF(INDEX(cnpj!$B:$B,MATCH(A213,cnpj!$A:$A,0))="","",INDEX(cnpj!$B:$B,MATCH(A213,cnpj!$A:$A,0))),"")</f>
        <v>03.161.868/0001-61</v>
      </c>
      <c r="C213" s="5" t="str">
        <f aca="false">IF(B213="","",RIGHT("00000000000000"&amp;SUBSTITUTE(SUBSTITUTE(SUBSTITUTE(SUBSTITUTE(B213,".",""),"/",""),"-","")," ",""),14))</f>
        <v>03161868000161</v>
      </c>
      <c r="D213" s="5" t="str">
        <f aca="false">IF(C213="","",MID(C213,1,2)&amp;"."&amp;MID(C213,3,3)&amp;"."&amp;MID(C213,6,3)&amp;"/"&amp;MID(C213,9,4)&amp;"-"&amp;MID(C213,13,2))</f>
        <v>03.161.868/0001-61</v>
      </c>
      <c r="E213" s="4" t="str">
        <f aca="false">IF(ISNA(MATCH(A213,cnpj!$A:$A,0)),"Lotação não existe na aba cnpj",IF(B213="","Sem CNPJ na aba cnpj","OK"))</f>
        <v>OK</v>
      </c>
    </row>
    <row r="214" customFormat="false" ht="15" hidden="false" customHeight="false" outlineLevel="0" collapsed="false">
      <c r="A214" s="4" t="n">
        <f aca="false">sisgi!A214</f>
        <v>13838</v>
      </c>
      <c r="B214" s="5" t="str">
        <f aca="false">IFERROR(IF(INDEX(cnpj!$B:$B,MATCH(A214,cnpj!$A:$A,0))="","",INDEX(cnpj!$B:$B,MATCH(A214,cnpj!$A:$A,0))),"")</f>
        <v>02.068.316/0001-40</v>
      </c>
      <c r="C214" s="5" t="str">
        <f aca="false">IF(B214="","",RIGHT("00000000000000"&amp;SUBSTITUTE(SUBSTITUTE(SUBSTITUTE(SUBSTITUTE(B214,".",""),"/",""),"-","")," ",""),14))</f>
        <v>02068316000140</v>
      </c>
      <c r="D214" s="5" t="str">
        <f aca="false">IF(C214="","",MID(C214,1,2)&amp;"."&amp;MID(C214,3,3)&amp;"."&amp;MID(C214,6,3)&amp;"/"&amp;MID(C214,9,4)&amp;"-"&amp;MID(C214,13,2))</f>
        <v>02.068.316/0001-40</v>
      </c>
      <c r="E214" s="4" t="str">
        <f aca="false">IF(ISNA(MATCH(A214,cnpj!$A:$A,0)),"Lotação não existe na aba cnpj",IF(B214="","Sem CNPJ na aba cnpj","OK"))</f>
        <v>OK</v>
      </c>
    </row>
    <row r="215" customFormat="false" ht="15" hidden="false" customHeight="false" outlineLevel="0" collapsed="false">
      <c r="A215" s="4" t="n">
        <f aca="false">sisgi!A215</f>
        <v>13889</v>
      </c>
      <c r="B215" s="5" t="str">
        <f aca="false">IFERROR(IF(INDEX(cnpj!$B:$B,MATCH(A215,cnpj!$A:$A,0))="","",INDEX(cnpj!$B:$B,MATCH(A215,cnpj!$A:$A,0))),"")</f>
        <v>03.121.680/0001-90</v>
      </c>
      <c r="C215" s="5" t="str">
        <f aca="false">IF(B215="","",RIGHT("00000000000000"&amp;SUBSTITUTE(SUBSTITUTE(SUBSTITUTE(SUBSTITUTE(B215,".",""),"/",""),"-","")," ",""),14))</f>
        <v>03121680000190</v>
      </c>
      <c r="D215" s="5" t="str">
        <f aca="false">IF(C215="","",MID(C215,1,2)&amp;"."&amp;MID(C215,3,3)&amp;"."&amp;MID(C215,6,3)&amp;"/"&amp;MID(C215,9,4)&amp;"-"&amp;MID(C215,13,2))</f>
        <v>03.121.680/0001-90</v>
      </c>
      <c r="E215" s="4" t="str">
        <f aca="false">IF(ISNA(MATCH(A215,cnpj!$A:$A,0)),"Lotação não existe na aba cnpj",IF(B215="","Sem CNPJ na aba cnpj","OK"))</f>
        <v>OK</v>
      </c>
    </row>
    <row r="216" customFormat="false" ht="15" hidden="false" customHeight="false" outlineLevel="0" collapsed="false">
      <c r="A216" s="4" t="n">
        <f aca="false">sisgi!A216</f>
        <v>13897</v>
      </c>
      <c r="B216" s="5" t="str">
        <f aca="false">IFERROR(IF(INDEX(cnpj!$B:$B,MATCH(A216,cnpj!$A:$A,0))="","",INDEX(cnpj!$B:$B,MATCH(A216,cnpj!$A:$A,0))),"")</f>
        <v>03.253.105/0001-40</v>
      </c>
      <c r="C216" s="5" t="str">
        <f aca="false">IF(B216="","",RIGHT("00000000000000"&amp;SUBSTITUTE(SUBSTITUTE(SUBSTITUTE(SUBSTITUTE(B216,".",""),"/",""),"-","")," ",""),14))</f>
        <v>03253105000140</v>
      </c>
      <c r="D216" s="5" t="str">
        <f aca="false">IF(C216="","",MID(C216,1,2)&amp;"."&amp;MID(C216,3,3)&amp;"."&amp;MID(C216,6,3)&amp;"/"&amp;MID(C216,9,4)&amp;"-"&amp;MID(C216,13,2))</f>
        <v>03.253.105/0001-40</v>
      </c>
      <c r="E216" s="4" t="str">
        <f aca="false">IF(ISNA(MATCH(A216,cnpj!$A:$A,0)),"Lotação não existe na aba cnpj",IF(B216="","Sem CNPJ na aba cnpj","OK"))</f>
        <v>OK</v>
      </c>
    </row>
    <row r="217" customFormat="false" ht="15" hidden="false" customHeight="false" outlineLevel="0" collapsed="false">
      <c r="A217" s="4" t="n">
        <f aca="false">sisgi!A217</f>
        <v>13919</v>
      </c>
      <c r="B217" s="5" t="str">
        <f aca="false">IFERROR(IF(INDEX(cnpj!$B:$B,MATCH(A217,cnpj!$A:$A,0))="","",INDEX(cnpj!$B:$B,MATCH(A217,cnpj!$A:$A,0))),"")</f>
        <v>01.832.842/0001-72</v>
      </c>
      <c r="C217" s="5" t="str">
        <f aca="false">IF(B217="","",RIGHT("00000000000000"&amp;SUBSTITUTE(SUBSTITUTE(SUBSTITUTE(SUBSTITUTE(B217,".",""),"/",""),"-","")," ",""),14))</f>
        <v>01832842000172</v>
      </c>
      <c r="D217" s="5" t="str">
        <f aca="false">IF(C217="","",MID(C217,1,2)&amp;"."&amp;MID(C217,3,3)&amp;"."&amp;MID(C217,6,3)&amp;"/"&amp;MID(C217,9,4)&amp;"-"&amp;MID(C217,13,2))</f>
        <v>01.832.842/0001-72</v>
      </c>
      <c r="E217" s="4" t="str">
        <f aca="false">IF(ISNA(MATCH(A217,cnpj!$A:$A,0)),"Lotação não existe na aba cnpj",IF(B217="","Sem CNPJ na aba cnpj","OK"))</f>
        <v>OK</v>
      </c>
    </row>
    <row r="218" customFormat="false" ht="15" hidden="false" customHeight="false" outlineLevel="0" collapsed="false">
      <c r="A218" s="4" t="n">
        <f aca="false">sisgi!A218</f>
        <v>13927</v>
      </c>
      <c r="B218" s="5" t="str">
        <f aca="false">IFERROR(IF(INDEX(cnpj!$B:$B,MATCH(A218,cnpj!$A:$A,0))="","",INDEX(cnpj!$B:$B,MATCH(A218,cnpj!$A:$A,0))),"")</f>
        <v>01.940.338/0001-96</v>
      </c>
      <c r="C218" s="5" t="str">
        <f aca="false">IF(B218="","",RIGHT("00000000000000"&amp;SUBSTITUTE(SUBSTITUTE(SUBSTITUTE(SUBSTITUTE(B218,".",""),"/",""),"-","")," ",""),14))</f>
        <v>01940338000196</v>
      </c>
      <c r="D218" s="5" t="str">
        <f aca="false">IF(C218="","",MID(C218,1,2)&amp;"."&amp;MID(C218,3,3)&amp;"."&amp;MID(C218,6,3)&amp;"/"&amp;MID(C218,9,4)&amp;"-"&amp;MID(C218,13,2))</f>
        <v>01.940.338/0001-96</v>
      </c>
      <c r="E218" s="4" t="str">
        <f aca="false">IF(ISNA(MATCH(A218,cnpj!$A:$A,0)),"Lotação não existe na aba cnpj",IF(B218="","Sem CNPJ na aba cnpj","OK"))</f>
        <v>OK</v>
      </c>
    </row>
    <row r="219" customFormat="false" ht="15" hidden="false" customHeight="false" outlineLevel="0" collapsed="false">
      <c r="A219" s="4" t="n">
        <f aca="false">sisgi!A219</f>
        <v>13935</v>
      </c>
      <c r="B219" s="5" t="str">
        <f aca="false">IFERROR(IF(INDEX(cnpj!$B:$B,MATCH(A219,cnpj!$A:$A,0))="","",INDEX(cnpj!$B:$B,MATCH(A219,cnpj!$A:$A,0))),"")</f>
        <v>01.940.350/0001-09</v>
      </c>
      <c r="C219" s="5" t="str">
        <f aca="false">IF(B219="","",RIGHT("00000000000000"&amp;SUBSTITUTE(SUBSTITUTE(SUBSTITUTE(SUBSTITUTE(B219,".",""),"/",""),"-","")," ",""),14))</f>
        <v>01940350000109</v>
      </c>
      <c r="D219" s="5" t="str">
        <f aca="false">IF(C219="","",MID(C219,1,2)&amp;"."&amp;MID(C219,3,3)&amp;"."&amp;MID(C219,6,3)&amp;"/"&amp;MID(C219,9,4)&amp;"-"&amp;MID(C219,13,2))</f>
        <v>01.940.350/0001-09</v>
      </c>
      <c r="E219" s="4" t="str">
        <f aca="false">IF(ISNA(MATCH(A219,cnpj!$A:$A,0)),"Lotação não existe na aba cnpj",IF(B219="","Sem CNPJ na aba cnpj","OK"))</f>
        <v>OK</v>
      </c>
    </row>
    <row r="220" customFormat="false" ht="15" hidden="false" customHeight="false" outlineLevel="0" collapsed="false">
      <c r="A220" s="4" t="n">
        <f aca="false">sisgi!A220</f>
        <v>13943</v>
      </c>
      <c r="B220" s="5" t="str">
        <f aca="false">IFERROR(IF(INDEX(cnpj!$B:$B,MATCH(A220,cnpj!$A:$A,0))="","",INDEX(cnpj!$B:$B,MATCH(A220,cnpj!$A:$A,0))),"")</f>
        <v>01.940.933/0001-21</v>
      </c>
      <c r="C220" s="5" t="str">
        <f aca="false">IF(B220="","",RIGHT("00000000000000"&amp;SUBSTITUTE(SUBSTITUTE(SUBSTITUTE(SUBSTITUTE(B220,".",""),"/",""),"-","")," ",""),14))</f>
        <v>01940933000121</v>
      </c>
      <c r="D220" s="5" t="str">
        <f aca="false">IF(C220="","",MID(C220,1,2)&amp;"."&amp;MID(C220,3,3)&amp;"."&amp;MID(C220,6,3)&amp;"/"&amp;MID(C220,9,4)&amp;"-"&amp;MID(C220,13,2))</f>
        <v>01.940.933/0001-21</v>
      </c>
      <c r="E220" s="4" t="str">
        <f aca="false">IF(ISNA(MATCH(A220,cnpj!$A:$A,0)),"Lotação não existe na aba cnpj",IF(B220="","Sem CNPJ na aba cnpj","OK"))</f>
        <v>OK</v>
      </c>
    </row>
    <row r="221" customFormat="false" ht="15" hidden="false" customHeight="false" outlineLevel="0" collapsed="false">
      <c r="A221" s="4" t="n">
        <f aca="false">sisgi!A221</f>
        <v>13951</v>
      </c>
      <c r="B221" s="5" t="str">
        <f aca="false">IFERROR(IF(INDEX(cnpj!$B:$B,MATCH(A221,cnpj!$A:$A,0))="","",INDEX(cnpj!$B:$B,MATCH(A221,cnpj!$A:$A,0))),"")</f>
        <v>01.678.326/0001-35</v>
      </c>
      <c r="C221" s="5" t="str">
        <f aca="false">IF(B221="","",RIGHT("00000000000000"&amp;SUBSTITUTE(SUBSTITUTE(SUBSTITUTE(SUBSTITUTE(B221,".",""),"/",""),"-","")," ",""),14))</f>
        <v>01678326000135</v>
      </c>
      <c r="D221" s="5" t="str">
        <f aca="false">IF(C221="","",MID(C221,1,2)&amp;"."&amp;MID(C221,3,3)&amp;"."&amp;MID(C221,6,3)&amp;"/"&amp;MID(C221,9,4)&amp;"-"&amp;MID(C221,13,2))</f>
        <v>01.678.326/0001-35</v>
      </c>
      <c r="E221" s="4" t="str">
        <f aca="false">IF(ISNA(MATCH(A221,cnpj!$A:$A,0)),"Lotação não existe na aba cnpj",IF(B221="","Sem CNPJ na aba cnpj","OK"))</f>
        <v>OK</v>
      </c>
    </row>
    <row r="222" customFormat="false" ht="15" hidden="false" customHeight="false" outlineLevel="0" collapsed="false">
      <c r="A222" s="4" t="n">
        <f aca="false">sisgi!A222</f>
        <v>14036</v>
      </c>
      <c r="B222" s="5" t="str">
        <f aca="false">IFERROR(IF(INDEX(cnpj!$B:$B,MATCH(A222,cnpj!$A:$A,0))="","",INDEX(cnpj!$B:$B,MATCH(A222,cnpj!$A:$A,0))),"")</f>
        <v>03.245.426/0001-01</v>
      </c>
      <c r="C222" s="5" t="str">
        <f aca="false">IF(B222="","",RIGHT("00000000000000"&amp;SUBSTITUTE(SUBSTITUTE(SUBSTITUTE(SUBSTITUTE(B222,".",""),"/",""),"-","")," ",""),14))</f>
        <v>03245426000101</v>
      </c>
      <c r="D222" s="5" t="str">
        <f aca="false">IF(C222="","",MID(C222,1,2)&amp;"."&amp;MID(C222,3,3)&amp;"."&amp;MID(C222,6,3)&amp;"/"&amp;MID(C222,9,4)&amp;"-"&amp;MID(C222,13,2))</f>
        <v>03.245.426/0001-01</v>
      </c>
      <c r="E222" s="4" t="str">
        <f aca="false">IF(ISNA(MATCH(A222,cnpj!$A:$A,0)),"Lotação não existe na aba cnpj",IF(B222="","Sem CNPJ na aba cnpj","OK"))</f>
        <v>OK</v>
      </c>
    </row>
    <row r="223" customFormat="false" ht="15" hidden="false" customHeight="false" outlineLevel="0" collapsed="false">
      <c r="A223" s="4" t="n">
        <f aca="false">sisgi!A223</f>
        <v>14044</v>
      </c>
      <c r="B223" s="5" t="str">
        <f aca="false">IFERROR(IF(INDEX(cnpj!$B:$B,MATCH(A223,cnpj!$A:$A,0))="","",INDEX(cnpj!$B:$B,MATCH(A223,cnpj!$A:$A,0))),"")</f>
        <v>03.092.245/0001-84</v>
      </c>
      <c r="C223" s="5" t="str">
        <f aca="false">IF(B223="","",RIGHT("00000000000000"&amp;SUBSTITUTE(SUBSTITUTE(SUBSTITUTE(SUBSTITUTE(B223,".",""),"/",""),"-","")," ",""),14))</f>
        <v>03092245000184</v>
      </c>
      <c r="D223" s="5" t="str">
        <f aca="false">IF(C223="","",MID(C223,1,2)&amp;"."&amp;MID(C223,3,3)&amp;"."&amp;MID(C223,6,3)&amp;"/"&amp;MID(C223,9,4)&amp;"-"&amp;MID(C223,13,2))</f>
        <v>03.092.245/0001-84</v>
      </c>
      <c r="E223" s="4" t="str">
        <f aca="false">IF(ISNA(MATCH(A223,cnpj!$A:$A,0)),"Lotação não existe na aba cnpj",IF(B223="","Sem CNPJ na aba cnpj","OK"))</f>
        <v>OK</v>
      </c>
    </row>
    <row r="224" customFormat="false" ht="15" hidden="false" customHeight="false" outlineLevel="0" collapsed="false">
      <c r="A224" s="4" t="n">
        <f aca="false">sisgi!A224</f>
        <v>14087</v>
      </c>
      <c r="B224" s="5" t="str">
        <f aca="false">IFERROR(IF(INDEX(cnpj!$B:$B,MATCH(A224,cnpj!$A:$A,0))="","",INDEX(cnpj!$B:$B,MATCH(A224,cnpj!$A:$A,0))),"")</f>
        <v>01.596.387/0001-53</v>
      </c>
      <c r="C224" s="5" t="str">
        <f aca="false">IF(B224="","",RIGHT("00000000000000"&amp;SUBSTITUTE(SUBSTITUTE(SUBSTITUTE(SUBSTITUTE(B224,".",""),"/",""),"-","")," ",""),14))</f>
        <v>01596387000153</v>
      </c>
      <c r="D224" s="5" t="str">
        <f aca="false">IF(C224="","",MID(C224,1,2)&amp;"."&amp;MID(C224,3,3)&amp;"."&amp;MID(C224,6,3)&amp;"/"&amp;MID(C224,9,4)&amp;"-"&amp;MID(C224,13,2))</f>
        <v>01.596.387/0001-53</v>
      </c>
      <c r="E224" s="4" t="str">
        <f aca="false">IF(ISNA(MATCH(A224,cnpj!$A:$A,0)),"Lotação não existe na aba cnpj",IF(B224="","Sem CNPJ na aba cnpj","OK"))</f>
        <v>OK</v>
      </c>
    </row>
    <row r="225" customFormat="false" ht="15" hidden="false" customHeight="false" outlineLevel="0" collapsed="false">
      <c r="A225" s="4" t="n">
        <f aca="false">sisgi!A225</f>
        <v>14095</v>
      </c>
      <c r="B225" s="5" t="str">
        <f aca="false">IFERROR(IF(INDEX(cnpj!$B:$B,MATCH(A225,cnpj!$A:$A,0))="","",INDEX(cnpj!$B:$B,MATCH(A225,cnpj!$A:$A,0))),"")</f>
        <v>01.564.923/0001-39</v>
      </c>
      <c r="C225" s="5" t="str">
        <f aca="false">IF(B225="","",RIGHT("00000000000000"&amp;SUBSTITUTE(SUBSTITUTE(SUBSTITUTE(SUBSTITUTE(B225,".",""),"/",""),"-","")," ",""),14))</f>
        <v>01564923000139</v>
      </c>
      <c r="D225" s="5" t="str">
        <f aca="false">IF(C225="","",MID(C225,1,2)&amp;"."&amp;MID(C225,3,3)&amp;"."&amp;MID(C225,6,3)&amp;"/"&amp;MID(C225,9,4)&amp;"-"&amp;MID(C225,13,2))</f>
        <v>01.564.923/0001-39</v>
      </c>
      <c r="E225" s="4" t="str">
        <f aca="false">IF(ISNA(MATCH(A225,cnpj!$A:$A,0)),"Lotação não existe na aba cnpj",IF(B225="","Sem CNPJ na aba cnpj","OK"))</f>
        <v>OK</v>
      </c>
    </row>
    <row r="226" customFormat="false" ht="15" hidden="false" customHeight="false" outlineLevel="0" collapsed="false">
      <c r="A226" s="4" t="n">
        <f aca="false">sisgi!A226</f>
        <v>14150</v>
      </c>
      <c r="B226" s="5" t="str">
        <f aca="false">IFERROR(IF(INDEX(cnpj!$B:$B,MATCH(A226,cnpj!$A:$A,0))="","",INDEX(cnpj!$B:$B,MATCH(A226,cnpj!$A:$A,0))),"")</f>
        <v>03.193.529/0001-67</v>
      </c>
      <c r="C226" s="5" t="str">
        <f aca="false">IF(B226="","",RIGHT("00000000000000"&amp;SUBSTITUTE(SUBSTITUTE(SUBSTITUTE(SUBSTITUTE(B226,".",""),"/",""),"-","")," ",""),14))</f>
        <v>03193529000167</v>
      </c>
      <c r="D226" s="5" t="str">
        <f aca="false">IF(C226="","",MID(C226,1,2)&amp;"."&amp;MID(C226,3,3)&amp;"."&amp;MID(C226,6,3)&amp;"/"&amp;MID(C226,9,4)&amp;"-"&amp;MID(C226,13,2))</f>
        <v>03.193.529/0001-67</v>
      </c>
      <c r="E226" s="4" t="str">
        <f aca="false">IF(ISNA(MATCH(A226,cnpj!$A:$A,0)),"Lotação não existe na aba cnpj",IF(B226="","Sem CNPJ na aba cnpj","OK"))</f>
        <v>OK</v>
      </c>
    </row>
    <row r="227" customFormat="false" ht="15" hidden="false" customHeight="false" outlineLevel="0" collapsed="false">
      <c r="A227" s="4" t="n">
        <f aca="false">sisgi!A227</f>
        <v>14184</v>
      </c>
      <c r="B227" s="5" t="str">
        <f aca="false">IFERROR(IF(INDEX(cnpj!$B:$B,MATCH(A227,cnpj!$A:$A,0))="","",INDEX(cnpj!$B:$B,MATCH(A227,cnpj!$A:$A,0))),"")</f>
        <v>03.269.038/0001-52</v>
      </c>
      <c r="C227" s="5" t="str">
        <f aca="false">IF(B227="","",RIGHT("00000000000000"&amp;SUBSTITUTE(SUBSTITUTE(SUBSTITUTE(SUBSTITUTE(B227,".",""),"/",""),"-","")," ",""),14))</f>
        <v>03269038000152</v>
      </c>
      <c r="D227" s="5" t="str">
        <f aca="false">IF(C227="","",MID(C227,1,2)&amp;"."&amp;MID(C227,3,3)&amp;"."&amp;MID(C227,6,3)&amp;"/"&amp;MID(C227,9,4)&amp;"-"&amp;MID(C227,13,2))</f>
        <v>03.269.038/0001-52</v>
      </c>
      <c r="E227" s="4" t="str">
        <f aca="false">IF(ISNA(MATCH(A227,cnpj!$A:$A,0)),"Lotação não existe na aba cnpj",IF(B227="","Sem CNPJ na aba cnpj","OK"))</f>
        <v>OK</v>
      </c>
    </row>
    <row r="228" customFormat="false" ht="15" hidden="false" customHeight="false" outlineLevel="0" collapsed="false">
      <c r="A228" s="4" t="n">
        <f aca="false">sisgi!A228</f>
        <v>14192</v>
      </c>
      <c r="B228" s="5" t="str">
        <f aca="false">IFERROR(IF(INDEX(cnpj!$B:$B,MATCH(A228,cnpj!$A:$A,0))="","",INDEX(cnpj!$B:$B,MATCH(A228,cnpj!$A:$A,0))),"")</f>
        <v>02.002.567/0001-22</v>
      </c>
      <c r="C228" s="5" t="str">
        <f aca="false">IF(B228="","",RIGHT("00000000000000"&amp;SUBSTITUTE(SUBSTITUTE(SUBSTITUTE(SUBSTITUTE(B228,".",""),"/",""),"-","")," ",""),14))</f>
        <v>02002567000122</v>
      </c>
      <c r="D228" s="5" t="str">
        <f aca="false">IF(C228="","",MID(C228,1,2)&amp;"."&amp;MID(C228,3,3)&amp;"."&amp;MID(C228,6,3)&amp;"/"&amp;MID(C228,9,4)&amp;"-"&amp;MID(C228,13,2))</f>
        <v>02.002.567/0001-22</v>
      </c>
      <c r="E228" s="4" t="str">
        <f aca="false">IF(ISNA(MATCH(A228,cnpj!$A:$A,0)),"Lotação não existe na aba cnpj",IF(B228="","Sem CNPJ na aba cnpj","OK"))</f>
        <v>OK</v>
      </c>
    </row>
    <row r="229" customFormat="false" ht="15" hidden="false" customHeight="false" outlineLevel="0" collapsed="false">
      <c r="A229" s="4" t="n">
        <f aca="false">sisgi!A229</f>
        <v>14206</v>
      </c>
      <c r="B229" s="5" t="str">
        <f aca="false">IFERROR(IF(INDEX(cnpj!$B:$B,MATCH(A229,cnpj!$A:$A,0))="","",INDEX(cnpj!$B:$B,MATCH(A229,cnpj!$A:$A,0))),"")</f>
        <v>03.124.495/0001-59</v>
      </c>
      <c r="C229" s="5" t="str">
        <f aca="false">IF(B229="","",RIGHT("00000000000000"&amp;SUBSTITUTE(SUBSTITUTE(SUBSTITUTE(SUBSTITUTE(B229,".",""),"/",""),"-","")," ",""),14))</f>
        <v>03124495000159</v>
      </c>
      <c r="D229" s="5" t="str">
        <f aca="false">IF(C229="","",MID(C229,1,2)&amp;"."&amp;MID(C229,3,3)&amp;"."&amp;MID(C229,6,3)&amp;"/"&amp;MID(C229,9,4)&amp;"-"&amp;MID(C229,13,2))</f>
        <v>03.124.495/0001-59</v>
      </c>
      <c r="E229" s="4" t="str">
        <f aca="false">IF(ISNA(MATCH(A229,cnpj!$A:$A,0)),"Lotação não existe na aba cnpj",IF(B229="","Sem CNPJ na aba cnpj","OK"))</f>
        <v>OK</v>
      </c>
    </row>
    <row r="230" customFormat="false" ht="15" hidden="false" customHeight="false" outlineLevel="0" collapsed="false">
      <c r="A230" s="4" t="n">
        <f aca="false">sisgi!A230</f>
        <v>14214</v>
      </c>
      <c r="B230" s="5" t="str">
        <f aca="false">IFERROR(IF(INDEX(cnpj!$B:$B,MATCH(A230,cnpj!$A:$A,0))="","",INDEX(cnpj!$B:$B,MATCH(A230,cnpj!$A:$A,0))),"")</f>
        <v>02.031.682/0001-25</v>
      </c>
      <c r="C230" s="5" t="str">
        <f aca="false">IF(B230="","",RIGHT("00000000000000"&amp;SUBSTITUTE(SUBSTITUTE(SUBSTITUTE(SUBSTITUTE(B230,".",""),"/",""),"-","")," ",""),14))</f>
        <v>02031682000125</v>
      </c>
      <c r="D230" s="5" t="str">
        <f aca="false">IF(C230="","",MID(C230,1,2)&amp;"."&amp;MID(C230,3,3)&amp;"."&amp;MID(C230,6,3)&amp;"/"&amp;MID(C230,9,4)&amp;"-"&amp;MID(C230,13,2))</f>
        <v>02.031.682/0001-25</v>
      </c>
      <c r="E230" s="4" t="str">
        <f aca="false">IF(ISNA(MATCH(A230,cnpj!$A:$A,0)),"Lotação não existe na aba cnpj",IF(B230="","Sem CNPJ na aba cnpj","OK"))</f>
        <v>OK</v>
      </c>
    </row>
    <row r="231" customFormat="false" ht="15" hidden="false" customHeight="false" outlineLevel="0" collapsed="false">
      <c r="A231" s="4" t="n">
        <f aca="false">sisgi!A231</f>
        <v>14222</v>
      </c>
      <c r="B231" s="5" t="str">
        <f aca="false">IFERROR(IF(INDEX(cnpj!$B:$B,MATCH(A231,cnpj!$A:$A,0))="","",INDEX(cnpj!$B:$B,MATCH(A231,cnpj!$A:$A,0))),"")</f>
        <v>03.802.986/0001-01</v>
      </c>
      <c r="C231" s="5" t="str">
        <f aca="false">IF(B231="","",RIGHT("00000000000000"&amp;SUBSTITUTE(SUBSTITUTE(SUBSTITUTE(SUBSTITUTE(B231,".",""),"/",""),"-","")," ",""),14))</f>
        <v>03802986000101</v>
      </c>
      <c r="D231" s="5" t="str">
        <f aca="false">IF(C231="","",MID(C231,1,2)&amp;"."&amp;MID(C231,3,3)&amp;"."&amp;MID(C231,6,3)&amp;"/"&amp;MID(C231,9,4)&amp;"-"&amp;MID(C231,13,2))</f>
        <v>03.802.986/0001-01</v>
      </c>
      <c r="E231" s="4" t="str">
        <f aca="false">IF(ISNA(MATCH(A231,cnpj!$A:$A,0)),"Lotação não existe na aba cnpj",IF(B231="","Sem CNPJ na aba cnpj","OK"))</f>
        <v>OK</v>
      </c>
    </row>
    <row r="232" customFormat="false" ht="15" hidden="false" customHeight="false" outlineLevel="0" collapsed="false">
      <c r="A232" s="4" t="n">
        <f aca="false">sisgi!A232</f>
        <v>14230</v>
      </c>
      <c r="B232" s="5" t="str">
        <f aca="false">IFERROR(IF(INDEX(cnpj!$B:$B,MATCH(A232,cnpj!$A:$A,0))="","",INDEX(cnpj!$B:$B,MATCH(A232,cnpj!$A:$A,0))),"")</f>
        <v>03.498.247/0001-78</v>
      </c>
      <c r="C232" s="5" t="str">
        <f aca="false">IF(B232="","",RIGHT("00000000000000"&amp;SUBSTITUTE(SUBSTITUTE(SUBSTITUTE(SUBSTITUTE(B232,".",""),"/",""),"-","")," ",""),14))</f>
        <v>03498247000178</v>
      </c>
      <c r="D232" s="5" t="str">
        <f aca="false">IF(C232="","",MID(C232,1,2)&amp;"."&amp;MID(C232,3,3)&amp;"."&amp;MID(C232,6,3)&amp;"/"&amp;MID(C232,9,4)&amp;"-"&amp;MID(C232,13,2))</f>
        <v>03.498.247/0001-78</v>
      </c>
      <c r="E232" s="4" t="str">
        <f aca="false">IF(ISNA(MATCH(A232,cnpj!$A:$A,0)),"Lotação não existe na aba cnpj",IF(B232="","Sem CNPJ na aba cnpj","OK"))</f>
        <v>OK</v>
      </c>
    </row>
    <row r="233" customFormat="false" ht="15" hidden="false" customHeight="false" outlineLevel="0" collapsed="false">
      <c r="A233" s="4" t="n">
        <f aca="false">sisgi!A233</f>
        <v>14303</v>
      </c>
      <c r="B233" s="5" t="str">
        <f aca="false">IFERROR(IF(INDEX(cnpj!$B:$B,MATCH(A233,cnpj!$A:$A,0))="","",INDEX(cnpj!$B:$B,MATCH(A233,cnpj!$A:$A,0))),"")</f>
        <v>32.971.160/0001-74</v>
      </c>
      <c r="C233" s="5" t="str">
        <f aca="false">IF(B233="","",RIGHT("00000000000000"&amp;SUBSTITUTE(SUBSTITUTE(SUBSTITUTE(SUBSTITUTE(B233,".",""),"/",""),"-","")," ",""),14))</f>
        <v>32971160000174</v>
      </c>
      <c r="D233" s="5" t="str">
        <f aca="false">IF(C233="","",MID(C233,1,2)&amp;"."&amp;MID(C233,3,3)&amp;"."&amp;MID(C233,6,3)&amp;"/"&amp;MID(C233,9,4)&amp;"-"&amp;MID(C233,13,2))</f>
        <v>32.971.160/0001-74</v>
      </c>
      <c r="E233" s="4" t="str">
        <f aca="false">IF(ISNA(MATCH(A233,cnpj!$A:$A,0)),"Lotação não existe na aba cnpj",IF(B233="","Sem CNPJ na aba cnpj","OK"))</f>
        <v>OK</v>
      </c>
    </row>
    <row r="234" customFormat="false" ht="15" hidden="false" customHeight="false" outlineLevel="0" collapsed="false">
      <c r="A234" s="4" t="n">
        <f aca="false">sisgi!A234</f>
        <v>14320</v>
      </c>
      <c r="B234" s="5" t="str">
        <f aca="false">IFERROR(IF(INDEX(cnpj!$B:$B,MATCH(A234,cnpj!$A:$A,0))="","",INDEX(cnpj!$B:$B,MATCH(A234,cnpj!$A:$A,0))),"")</f>
        <v>32.970.634/0001-63</v>
      </c>
      <c r="C234" s="5" t="str">
        <f aca="false">IF(B234="","",RIGHT("00000000000000"&amp;SUBSTITUTE(SUBSTITUTE(SUBSTITUTE(SUBSTITUTE(B234,".",""),"/",""),"-","")," ",""),14))</f>
        <v>32970634000163</v>
      </c>
      <c r="D234" s="5" t="str">
        <f aca="false">IF(C234="","",MID(C234,1,2)&amp;"."&amp;MID(C234,3,3)&amp;"."&amp;MID(C234,6,3)&amp;"/"&amp;MID(C234,9,4)&amp;"-"&amp;MID(C234,13,2))</f>
        <v>32.970.634/0001-63</v>
      </c>
      <c r="E234" s="4" t="str">
        <f aca="false">IF(ISNA(MATCH(A234,cnpj!$A:$A,0)),"Lotação não existe na aba cnpj",IF(B234="","Sem CNPJ na aba cnpj","OK"))</f>
        <v>OK</v>
      </c>
    </row>
    <row r="235" customFormat="false" ht="15" hidden="false" customHeight="false" outlineLevel="0" collapsed="false">
      <c r="A235" s="4" t="n">
        <f aca="false">sisgi!A235</f>
        <v>14419</v>
      </c>
      <c r="B235" s="5" t="str">
        <f aca="false">IFERROR(IF(INDEX(cnpj!$B:$B,MATCH(A235,cnpj!$A:$A,0))="","",INDEX(cnpj!$B:$B,MATCH(A235,cnpj!$A:$A,0))),"")</f>
        <v>02.595.020/0001-88</v>
      </c>
      <c r="C235" s="5" t="str">
        <f aca="false">IF(B235="","",RIGHT("00000000000000"&amp;SUBSTITUTE(SUBSTITUTE(SUBSTITUTE(SUBSTITUTE(B235,".",""),"/",""),"-","")," ",""),14))</f>
        <v>02595020000188</v>
      </c>
      <c r="D235" s="5" t="str">
        <f aca="false">IF(C235="","",MID(C235,1,2)&amp;"."&amp;MID(C235,3,3)&amp;"."&amp;MID(C235,6,3)&amp;"/"&amp;MID(C235,9,4)&amp;"-"&amp;MID(C235,13,2))</f>
        <v>02.595.020/0001-88</v>
      </c>
      <c r="E235" s="4" t="str">
        <f aca="false">IF(ISNA(MATCH(A235,cnpj!$A:$A,0)),"Lotação não existe na aba cnpj",IF(B235="","Sem CNPJ na aba cnpj","OK"))</f>
        <v>OK</v>
      </c>
    </row>
    <row r="236" customFormat="false" ht="15" hidden="false" customHeight="false" outlineLevel="0" collapsed="false">
      <c r="A236" s="4" t="n">
        <f aca="false">sisgi!A236</f>
        <v>14435</v>
      </c>
      <c r="B236" s="5" t="str">
        <f aca="false">IFERROR(IF(INDEX(cnpj!$B:$B,MATCH(A236,cnpj!$A:$A,0))="","",INDEX(cnpj!$B:$B,MATCH(A236,cnpj!$A:$A,0))),"")</f>
        <v>02.509.142/0001-04</v>
      </c>
      <c r="C236" s="5" t="str">
        <f aca="false">IF(B236="","",RIGHT("00000000000000"&amp;SUBSTITUTE(SUBSTITUTE(SUBSTITUTE(SUBSTITUTE(B236,".",""),"/",""),"-","")," ",""),14))</f>
        <v>02509142000104</v>
      </c>
      <c r="D236" s="5" t="str">
        <f aca="false">IF(C236="","",MID(C236,1,2)&amp;"."&amp;MID(C236,3,3)&amp;"."&amp;MID(C236,6,3)&amp;"/"&amp;MID(C236,9,4)&amp;"-"&amp;MID(C236,13,2))</f>
        <v>02.509.142/0001-04</v>
      </c>
      <c r="E236" s="4" t="str">
        <f aca="false">IF(ISNA(MATCH(A236,cnpj!$A:$A,0)),"Lotação não existe na aba cnpj",IF(B236="","Sem CNPJ na aba cnpj","OK"))</f>
        <v>OK</v>
      </c>
    </row>
    <row r="237" customFormat="false" ht="15" hidden="false" customHeight="false" outlineLevel="0" collapsed="false">
      <c r="A237" s="4" t="n">
        <f aca="false">sisgi!A237</f>
        <v>14451</v>
      </c>
      <c r="B237" s="5" t="str">
        <f aca="false">IFERROR(IF(INDEX(cnpj!$B:$B,MATCH(A237,cnpj!$A:$A,0))="","",INDEX(cnpj!$B:$B,MATCH(A237,cnpj!$A:$A,0))),"")</f>
        <v>02.506.852/0001-80</v>
      </c>
      <c r="C237" s="5" t="str">
        <f aca="false">IF(B237="","",RIGHT("00000000000000"&amp;SUBSTITUTE(SUBSTITUTE(SUBSTITUTE(SUBSTITUTE(B237,".",""),"/",""),"-","")," ",""),14))</f>
        <v>02506852000180</v>
      </c>
      <c r="D237" s="5" t="str">
        <f aca="false">IF(C237="","",MID(C237,1,2)&amp;"."&amp;MID(C237,3,3)&amp;"."&amp;MID(C237,6,3)&amp;"/"&amp;MID(C237,9,4)&amp;"-"&amp;MID(C237,13,2))</f>
        <v>02.506.852/0001-80</v>
      </c>
      <c r="E237" s="4" t="str">
        <f aca="false">IF(ISNA(MATCH(A237,cnpj!$A:$A,0)),"Lotação não existe na aba cnpj",IF(B237="","Sem CNPJ na aba cnpj","OK"))</f>
        <v>OK</v>
      </c>
    </row>
    <row r="238" customFormat="false" ht="15" hidden="false" customHeight="false" outlineLevel="0" collapsed="false">
      <c r="A238" s="4" t="n">
        <f aca="false">sisgi!A238</f>
        <v>14460</v>
      </c>
      <c r="B238" s="5" t="str">
        <f aca="false">IFERROR(IF(INDEX(cnpj!$B:$B,MATCH(A238,cnpj!$A:$A,0))="","",INDEX(cnpj!$B:$B,MATCH(A238,cnpj!$A:$A,0))),"")</f>
        <v>01.491.846/0001-34</v>
      </c>
      <c r="C238" s="5" t="str">
        <f aca="false">IF(B238="","",RIGHT("00000000000000"&amp;SUBSTITUTE(SUBSTITUTE(SUBSTITUTE(SUBSTITUTE(B238,".",""),"/",""),"-","")," ",""),14))</f>
        <v>01491846000134</v>
      </c>
      <c r="D238" s="5" t="str">
        <f aca="false">IF(C238="","",MID(C238,1,2)&amp;"."&amp;MID(C238,3,3)&amp;"."&amp;MID(C238,6,3)&amp;"/"&amp;MID(C238,9,4)&amp;"-"&amp;MID(C238,13,2))</f>
        <v>01.491.846/0001-34</v>
      </c>
      <c r="E238" s="4" t="str">
        <f aca="false">IF(ISNA(MATCH(A238,cnpj!$A:$A,0)),"Lotação não existe na aba cnpj",IF(B238="","Sem CNPJ na aba cnpj","OK"))</f>
        <v>OK</v>
      </c>
    </row>
    <row r="239" customFormat="false" ht="15" hidden="false" customHeight="false" outlineLevel="0" collapsed="false">
      <c r="A239" s="4" t="n">
        <f aca="false">sisgi!A239</f>
        <v>14478</v>
      </c>
      <c r="B239" s="5" t="str">
        <f aca="false">IFERROR(IF(INDEX(cnpj!$B:$B,MATCH(A239,cnpj!$A:$A,0))="","",INDEX(cnpj!$B:$B,MATCH(A239,cnpj!$A:$A,0))),"")</f>
        <v>02.508.601/0001-35</v>
      </c>
      <c r="C239" s="5" t="str">
        <f aca="false">IF(B239="","",RIGHT("00000000000000"&amp;SUBSTITUTE(SUBSTITUTE(SUBSTITUTE(SUBSTITUTE(B239,".",""),"/",""),"-","")," ",""),14))</f>
        <v>02508601000135</v>
      </c>
      <c r="D239" s="5" t="str">
        <f aca="false">IF(C239="","",MID(C239,1,2)&amp;"."&amp;MID(C239,3,3)&amp;"."&amp;MID(C239,6,3)&amp;"/"&amp;MID(C239,9,4)&amp;"-"&amp;MID(C239,13,2))</f>
        <v>02.508.601/0001-35</v>
      </c>
      <c r="E239" s="4" t="str">
        <f aca="false">IF(ISNA(MATCH(A239,cnpj!$A:$A,0)),"Lotação não existe na aba cnpj",IF(B239="","Sem CNPJ na aba cnpj","OK"))</f>
        <v>OK</v>
      </c>
    </row>
    <row r="240" customFormat="false" ht="15" hidden="false" customHeight="false" outlineLevel="0" collapsed="false">
      <c r="A240" s="4" t="n">
        <f aca="false">sisgi!A240</f>
        <v>14486</v>
      </c>
      <c r="B240" s="5" t="str">
        <f aca="false">IFERROR(IF(INDEX(cnpj!$B:$B,MATCH(A240,cnpj!$A:$A,0))="","",INDEX(cnpj!$B:$B,MATCH(A240,cnpj!$A:$A,0))),"")</f>
        <v>02.412.630/0001-07</v>
      </c>
      <c r="C240" s="5" t="str">
        <f aca="false">IF(B240="","",RIGHT("00000000000000"&amp;SUBSTITUTE(SUBSTITUTE(SUBSTITUTE(SUBSTITUTE(B240,".",""),"/",""),"-","")," ",""),14))</f>
        <v>02412630000107</v>
      </c>
      <c r="D240" s="5" t="str">
        <f aca="false">IF(C240="","",MID(C240,1,2)&amp;"."&amp;MID(C240,3,3)&amp;"."&amp;MID(C240,6,3)&amp;"/"&amp;MID(C240,9,4)&amp;"-"&amp;MID(C240,13,2))</f>
        <v>02.412.630/0001-07</v>
      </c>
      <c r="E240" s="4" t="str">
        <f aca="false">IF(ISNA(MATCH(A240,cnpj!$A:$A,0)),"Lotação não existe na aba cnpj",IF(B240="","Sem CNPJ na aba cnpj","OK"))</f>
        <v>OK</v>
      </c>
    </row>
    <row r="241" customFormat="false" ht="15" hidden="false" customHeight="false" outlineLevel="0" collapsed="false">
      <c r="A241" s="4" t="n">
        <f aca="false">sisgi!A241</f>
        <v>14508</v>
      </c>
      <c r="B241" s="5" t="str">
        <f aca="false">IFERROR(IF(INDEX(cnpj!$B:$B,MATCH(A241,cnpj!$A:$A,0))="","",INDEX(cnpj!$B:$B,MATCH(A241,cnpj!$A:$A,0))),"")</f>
        <v>02.350.095/0001-07</v>
      </c>
      <c r="C241" s="5" t="str">
        <f aca="false">IF(B241="","",RIGHT("00000000000000"&amp;SUBSTITUTE(SUBSTITUTE(SUBSTITUTE(SUBSTITUTE(B241,".",""),"/",""),"-","")," ",""),14))</f>
        <v>02350095000107</v>
      </c>
      <c r="D241" s="5" t="str">
        <f aca="false">IF(C241="","",MID(C241,1,2)&amp;"."&amp;MID(C241,3,3)&amp;"."&amp;MID(C241,6,3)&amp;"/"&amp;MID(C241,9,4)&amp;"-"&amp;MID(C241,13,2))</f>
        <v>02.350.095/0001-07</v>
      </c>
      <c r="E241" s="4" t="str">
        <f aca="false">IF(ISNA(MATCH(A241,cnpj!$A:$A,0)),"Lotação não existe na aba cnpj",IF(B241="","Sem CNPJ na aba cnpj","OK"))</f>
        <v>OK</v>
      </c>
    </row>
    <row r="242" customFormat="false" ht="15" hidden="false" customHeight="false" outlineLevel="0" collapsed="false">
      <c r="A242" s="4" t="n">
        <f aca="false">sisgi!A242</f>
        <v>14516</v>
      </c>
      <c r="B242" s="5" t="str">
        <f aca="false">IFERROR(IF(INDEX(cnpj!$B:$B,MATCH(A242,cnpj!$A:$A,0))="","",INDEX(cnpj!$B:$B,MATCH(A242,cnpj!$A:$A,0))),"")</f>
        <v>01.885.393/0001-20</v>
      </c>
      <c r="C242" s="5" t="str">
        <f aca="false">IF(B242="","",RIGHT("00000000000000"&amp;SUBSTITUTE(SUBSTITUTE(SUBSTITUTE(SUBSTITUTE(B242,".",""),"/",""),"-","")," ",""),14))</f>
        <v>01885393000120</v>
      </c>
      <c r="D242" s="5" t="str">
        <f aca="false">IF(C242="","",MID(C242,1,2)&amp;"."&amp;MID(C242,3,3)&amp;"."&amp;MID(C242,6,3)&amp;"/"&amp;MID(C242,9,4)&amp;"-"&amp;MID(C242,13,2))</f>
        <v>01.885.393/0001-20</v>
      </c>
      <c r="E242" s="4" t="str">
        <f aca="false">IF(ISNA(MATCH(A242,cnpj!$A:$A,0)),"Lotação não existe na aba cnpj",IF(B242="","Sem CNPJ na aba cnpj","OK"))</f>
        <v>OK</v>
      </c>
    </row>
    <row r="243" customFormat="false" ht="15" hidden="false" customHeight="false" outlineLevel="0" collapsed="false">
      <c r="A243" s="4" t="n">
        <f aca="false">sisgi!A243</f>
        <v>14532</v>
      </c>
      <c r="B243" s="5" t="str">
        <f aca="false">IFERROR(IF(INDEX(cnpj!$B:$B,MATCH(A243,cnpj!$A:$A,0))="","",INDEX(cnpj!$B:$B,MATCH(A243,cnpj!$A:$A,0))),"")</f>
        <v>02.042.787/0001-80</v>
      </c>
      <c r="C243" s="5" t="str">
        <f aca="false">IF(B243="","",RIGHT("00000000000000"&amp;SUBSTITUTE(SUBSTITUTE(SUBSTITUTE(SUBSTITUTE(B243,".",""),"/",""),"-","")," ",""),14))</f>
        <v>02042787000180</v>
      </c>
      <c r="D243" s="5" t="str">
        <f aca="false">IF(C243="","",MID(C243,1,2)&amp;"."&amp;MID(C243,3,3)&amp;"."&amp;MID(C243,6,3)&amp;"/"&amp;MID(C243,9,4)&amp;"-"&amp;MID(C243,13,2))</f>
        <v>02.042.787/0001-80</v>
      </c>
      <c r="E243" s="4" t="str">
        <f aca="false">IF(ISNA(MATCH(A243,cnpj!$A:$A,0)),"Lotação não existe na aba cnpj",IF(B243="","Sem CNPJ na aba cnpj","OK"))</f>
        <v>OK</v>
      </c>
    </row>
    <row r="244" customFormat="false" ht="15" hidden="false" customHeight="false" outlineLevel="0" collapsed="false">
      <c r="A244" s="4" t="n">
        <f aca="false">sisgi!A244</f>
        <v>14567</v>
      </c>
      <c r="B244" s="5" t="str">
        <f aca="false">IFERROR(IF(INDEX(cnpj!$B:$B,MATCH(A244,cnpj!$A:$A,0))="","",INDEX(cnpj!$B:$B,MATCH(A244,cnpj!$A:$A,0))),"")</f>
        <v>02.241.342/0001-29</v>
      </c>
      <c r="C244" s="5" t="str">
        <f aca="false">IF(B244="","",RIGHT("00000000000000"&amp;SUBSTITUTE(SUBSTITUTE(SUBSTITUTE(SUBSTITUTE(B244,".",""),"/",""),"-","")," ",""),14))</f>
        <v>02241342000129</v>
      </c>
      <c r="D244" s="5" t="str">
        <f aca="false">IF(C244="","",MID(C244,1,2)&amp;"."&amp;MID(C244,3,3)&amp;"."&amp;MID(C244,6,3)&amp;"/"&amp;MID(C244,9,4)&amp;"-"&amp;MID(C244,13,2))</f>
        <v>02.241.342/0001-29</v>
      </c>
      <c r="E244" s="4" t="str">
        <f aca="false">IF(ISNA(MATCH(A244,cnpj!$A:$A,0)),"Lotação não existe na aba cnpj",IF(B244="","Sem CNPJ na aba cnpj","OK"))</f>
        <v>OK</v>
      </c>
    </row>
    <row r="245" customFormat="false" ht="15" hidden="false" customHeight="false" outlineLevel="0" collapsed="false">
      <c r="A245" s="4" t="n">
        <f aca="false">sisgi!A245</f>
        <v>14575</v>
      </c>
      <c r="B245" s="5" t="str">
        <f aca="false">IFERROR(IF(INDEX(cnpj!$B:$B,MATCH(A245,cnpj!$A:$A,0))="","",INDEX(cnpj!$B:$B,MATCH(A245,cnpj!$A:$A,0))),"")</f>
        <v>01.944.565/0001-90</v>
      </c>
      <c r="C245" s="5" t="str">
        <f aca="false">IF(B245="","",RIGHT("00000000000000"&amp;SUBSTITUTE(SUBSTITUTE(SUBSTITUTE(SUBSTITUTE(B245,".",""),"/",""),"-","")," ",""),14))</f>
        <v>01944565000190</v>
      </c>
      <c r="D245" s="5" t="str">
        <f aca="false">IF(C245="","",MID(C245,1,2)&amp;"."&amp;MID(C245,3,3)&amp;"."&amp;MID(C245,6,3)&amp;"/"&amp;MID(C245,9,4)&amp;"-"&amp;MID(C245,13,2))</f>
        <v>01.944.565/0001-90</v>
      </c>
      <c r="E245" s="4" t="str">
        <f aca="false">IF(ISNA(MATCH(A245,cnpj!$A:$A,0)),"Lotação não existe na aba cnpj",IF(B245="","Sem CNPJ na aba cnpj","OK"))</f>
        <v>OK</v>
      </c>
    </row>
    <row r="246" customFormat="false" ht="15" hidden="false" customHeight="false" outlineLevel="0" collapsed="false">
      <c r="A246" s="4" t="n">
        <f aca="false">sisgi!A246</f>
        <v>14591</v>
      </c>
      <c r="B246" s="5" t="str">
        <f aca="false">IFERROR(IF(INDEX(cnpj!$B:$B,MATCH(A246,cnpj!$A:$A,0))="","",INDEX(cnpj!$B:$B,MATCH(A246,cnpj!$A:$A,0))),"")</f>
        <v>03.185.230/0001-60</v>
      </c>
      <c r="C246" s="5" t="str">
        <f aca="false">IF(B246="","",RIGHT("00000000000000"&amp;SUBSTITUTE(SUBSTITUTE(SUBSTITUTE(SUBSTITUTE(B246,".",""),"/",""),"-","")," ",""),14))</f>
        <v>03185230000160</v>
      </c>
      <c r="D246" s="5" t="str">
        <f aca="false">IF(C246="","",MID(C246,1,2)&amp;"."&amp;MID(C246,3,3)&amp;"."&amp;MID(C246,6,3)&amp;"/"&amp;MID(C246,9,4)&amp;"-"&amp;MID(C246,13,2))</f>
        <v>03.185.230/0001-60</v>
      </c>
      <c r="E246" s="4" t="str">
        <f aca="false">IF(ISNA(MATCH(A246,cnpj!$A:$A,0)),"Lotação não existe na aba cnpj",IF(B246="","Sem CNPJ na aba cnpj","OK"))</f>
        <v>OK</v>
      </c>
    </row>
    <row r="247" customFormat="false" ht="15" hidden="false" customHeight="false" outlineLevel="0" collapsed="false">
      <c r="A247" s="4" t="n">
        <f aca="false">sisgi!A247</f>
        <v>14613</v>
      </c>
      <c r="B247" s="5" t="str">
        <f aca="false">IFERROR(IF(INDEX(cnpj!$B:$B,MATCH(A247,cnpj!$A:$A,0))="","",INDEX(cnpj!$B:$B,MATCH(A247,cnpj!$A:$A,0))),"")</f>
        <v>01.971.675/0001-40</v>
      </c>
      <c r="C247" s="5" t="str">
        <f aca="false">IF(B247="","",RIGHT("00000000000000"&amp;SUBSTITUTE(SUBSTITUTE(SUBSTITUTE(SUBSTITUTE(B247,".",""),"/",""),"-","")," ",""),14))</f>
        <v>01971675000140</v>
      </c>
      <c r="D247" s="5" t="str">
        <f aca="false">IF(C247="","",MID(C247,1,2)&amp;"."&amp;MID(C247,3,3)&amp;"."&amp;MID(C247,6,3)&amp;"/"&amp;MID(C247,9,4)&amp;"-"&amp;MID(C247,13,2))</f>
        <v>01.971.675/0001-40</v>
      </c>
      <c r="E247" s="4" t="str">
        <f aca="false">IF(ISNA(MATCH(A247,cnpj!$A:$A,0)),"Lotação não existe na aba cnpj",IF(B247="","Sem CNPJ na aba cnpj","OK"))</f>
        <v>OK</v>
      </c>
    </row>
    <row r="248" customFormat="false" ht="15" hidden="false" customHeight="false" outlineLevel="0" collapsed="false">
      <c r="A248" s="4" t="n">
        <f aca="false">sisgi!A248</f>
        <v>14630</v>
      </c>
      <c r="B248" s="5" t="str">
        <f aca="false">IFERROR(IF(INDEX(cnpj!$B:$B,MATCH(A248,cnpj!$A:$A,0))="","",INDEX(cnpj!$B:$B,MATCH(A248,cnpj!$A:$A,0))),"")</f>
        <v>02.010.869/0001-42</v>
      </c>
      <c r="C248" s="5" t="str">
        <f aca="false">IF(B248="","",RIGHT("00000000000000"&amp;SUBSTITUTE(SUBSTITUTE(SUBSTITUTE(SUBSTITUTE(B248,".",""),"/",""),"-","")," ",""),14))</f>
        <v>02010869000142</v>
      </c>
      <c r="D248" s="5" t="str">
        <f aca="false">IF(C248="","",MID(C248,1,2)&amp;"."&amp;MID(C248,3,3)&amp;"."&amp;MID(C248,6,3)&amp;"/"&amp;MID(C248,9,4)&amp;"-"&amp;MID(C248,13,2))</f>
        <v>02.010.869/0001-42</v>
      </c>
      <c r="E248" s="4" t="str">
        <f aca="false">IF(ISNA(MATCH(A248,cnpj!$A:$A,0)),"Lotação não existe na aba cnpj",IF(B248="","Sem CNPJ na aba cnpj","OK"))</f>
        <v>OK</v>
      </c>
    </row>
    <row r="249" customFormat="false" ht="15" hidden="false" customHeight="false" outlineLevel="0" collapsed="false">
      <c r="A249" s="4" t="n">
        <f aca="false">sisgi!A249</f>
        <v>14648</v>
      </c>
      <c r="B249" s="5" t="str">
        <f aca="false">IFERROR(IF(INDEX(cnpj!$B:$B,MATCH(A249,cnpj!$A:$A,0))="","",INDEX(cnpj!$B:$B,MATCH(A249,cnpj!$A:$A,0))),"")</f>
        <v>03.143.434/0001-39</v>
      </c>
      <c r="C249" s="5" t="str">
        <f aca="false">IF(B249="","",RIGHT("00000000000000"&amp;SUBSTITUTE(SUBSTITUTE(SUBSTITUTE(SUBSTITUTE(B249,".",""),"/",""),"-","")," ",""),14))</f>
        <v>03143434000139</v>
      </c>
      <c r="D249" s="5" t="str">
        <f aca="false">IF(C249="","",MID(C249,1,2)&amp;"."&amp;MID(C249,3,3)&amp;"."&amp;MID(C249,6,3)&amp;"/"&amp;MID(C249,9,4)&amp;"-"&amp;MID(C249,13,2))</f>
        <v>03.143.434/0001-39</v>
      </c>
      <c r="E249" s="4" t="str">
        <f aca="false">IF(ISNA(MATCH(A249,cnpj!$A:$A,0)),"Lotação não existe na aba cnpj",IF(B249="","Sem CNPJ na aba cnpj","OK"))</f>
        <v>OK</v>
      </c>
    </row>
    <row r="250" customFormat="false" ht="15" hidden="false" customHeight="false" outlineLevel="0" collapsed="false">
      <c r="A250" s="4" t="n">
        <f aca="false">sisgi!A250</f>
        <v>14729</v>
      </c>
      <c r="B250" s="5" t="str">
        <f aca="false">IFERROR(IF(INDEX(cnpj!$B:$B,MATCH(A250,cnpj!$A:$A,0))="","",INDEX(cnpj!$B:$B,MATCH(A250,cnpj!$A:$A,0))),"")</f>
        <v>06.916.200/0001-75</v>
      </c>
      <c r="C250" s="5" t="str">
        <f aca="false">IF(B250="","",RIGHT("00000000000000"&amp;SUBSTITUTE(SUBSTITUTE(SUBSTITUTE(SUBSTITUTE(B250,".",""),"/",""),"-","")," ",""),14))</f>
        <v>06916200000175</v>
      </c>
      <c r="D250" s="5" t="str">
        <f aca="false">IF(C250="","",MID(C250,1,2)&amp;"."&amp;MID(C250,3,3)&amp;"."&amp;MID(C250,6,3)&amp;"/"&amp;MID(C250,9,4)&amp;"-"&amp;MID(C250,13,2))</f>
        <v>06.916.200/0001-75</v>
      </c>
      <c r="E250" s="4" t="str">
        <f aca="false">IF(ISNA(MATCH(A250,cnpj!$A:$A,0)),"Lotação não existe na aba cnpj",IF(B250="","Sem CNPJ na aba cnpj","OK"))</f>
        <v>OK</v>
      </c>
    </row>
    <row r="251" customFormat="false" ht="15" hidden="false" customHeight="false" outlineLevel="0" collapsed="false">
      <c r="A251" s="4" t="n">
        <f aca="false">sisgi!A251</f>
        <v>14761</v>
      </c>
      <c r="B251" s="5" t="str">
        <f aca="false">IFERROR(IF(INDEX(cnpj!$B:$B,MATCH(A251,cnpj!$A:$A,0))="","",INDEX(cnpj!$B:$B,MATCH(A251,cnpj!$A:$A,0))),"")</f>
        <v>33.003.575/0001-17</v>
      </c>
      <c r="C251" s="5" t="str">
        <f aca="false">IF(B251="","",RIGHT("00000000000000"&amp;SUBSTITUTE(SUBSTITUTE(SUBSTITUTE(SUBSTITUTE(B251,".",""),"/",""),"-","")," ",""),14))</f>
        <v>33003575000117</v>
      </c>
      <c r="D251" s="5" t="str">
        <f aca="false">IF(C251="","",MID(C251,1,2)&amp;"."&amp;MID(C251,3,3)&amp;"."&amp;MID(C251,6,3)&amp;"/"&amp;MID(C251,9,4)&amp;"-"&amp;MID(C251,13,2))</f>
        <v>33.003.575/0001-17</v>
      </c>
      <c r="E251" s="4" t="str">
        <f aca="false">IF(ISNA(MATCH(A251,cnpj!$A:$A,0)),"Lotação não existe na aba cnpj",IF(B251="","Sem CNPJ na aba cnpj","OK"))</f>
        <v>OK</v>
      </c>
    </row>
    <row r="252" customFormat="false" ht="15" hidden="false" customHeight="false" outlineLevel="0" collapsed="false">
      <c r="A252" s="4" t="n">
        <f aca="false">sisgi!A252</f>
        <v>14796</v>
      </c>
      <c r="B252" s="5" t="str">
        <f aca="false">IFERROR(IF(INDEX(cnpj!$B:$B,MATCH(A252,cnpj!$A:$A,0))="","",INDEX(cnpj!$B:$B,MATCH(A252,cnpj!$A:$A,0))),"")</f>
        <v>01.999.993/0001-10</v>
      </c>
      <c r="C252" s="5" t="str">
        <f aca="false">IF(B252="","",RIGHT("00000000000000"&amp;SUBSTITUTE(SUBSTITUTE(SUBSTITUTE(SUBSTITUTE(B252,".",""),"/",""),"-","")," ",""),14))</f>
        <v>01999993000110</v>
      </c>
      <c r="D252" s="5" t="str">
        <f aca="false">IF(C252="","",MID(C252,1,2)&amp;"."&amp;MID(C252,3,3)&amp;"."&amp;MID(C252,6,3)&amp;"/"&amp;MID(C252,9,4)&amp;"-"&amp;MID(C252,13,2))</f>
        <v>01.999.993/0001-10</v>
      </c>
      <c r="E252" s="4" t="str">
        <f aca="false">IF(ISNA(MATCH(A252,cnpj!$A:$A,0)),"Lotação não existe na aba cnpj",IF(B252="","Sem CNPJ na aba cnpj","OK"))</f>
        <v>OK</v>
      </c>
    </row>
    <row r="253" customFormat="false" ht="15" hidden="false" customHeight="false" outlineLevel="0" collapsed="false">
      <c r="A253" s="4" t="n">
        <f aca="false">sisgi!A253</f>
        <v>14826</v>
      </c>
      <c r="B253" s="5" t="str">
        <f aca="false">IFERROR(IF(INDEX(cnpj!$B:$B,MATCH(A253,cnpj!$A:$A,0))="","",INDEX(cnpj!$B:$B,MATCH(A253,cnpj!$A:$A,0))),"")</f>
        <v>02.630.610/0001-02</v>
      </c>
      <c r="C253" s="5" t="str">
        <f aca="false">IF(B253="","",RIGHT("00000000000000"&amp;SUBSTITUTE(SUBSTITUTE(SUBSTITUTE(SUBSTITUTE(B253,".",""),"/",""),"-","")," ",""),14))</f>
        <v>02630610000102</v>
      </c>
      <c r="D253" s="5" t="str">
        <f aca="false">IF(C253="","",MID(C253,1,2)&amp;"."&amp;MID(C253,3,3)&amp;"."&amp;MID(C253,6,3)&amp;"/"&amp;MID(C253,9,4)&amp;"-"&amp;MID(C253,13,2))</f>
        <v>02.630.610/0001-02</v>
      </c>
      <c r="E253" s="4" t="str">
        <f aca="false">IF(ISNA(MATCH(A253,cnpj!$A:$A,0)),"Lotação não existe na aba cnpj",IF(B253="","Sem CNPJ na aba cnpj","OK"))</f>
        <v>OK</v>
      </c>
    </row>
    <row r="254" customFormat="false" ht="15" hidden="false" customHeight="false" outlineLevel="0" collapsed="false">
      <c r="A254" s="4" t="n">
        <f aca="false">sisgi!A254</f>
        <v>14850</v>
      </c>
      <c r="B254" s="5" t="str">
        <f aca="false">IFERROR(IF(INDEX(cnpj!$B:$B,MATCH(A254,cnpj!$A:$A,0))="","",INDEX(cnpj!$B:$B,MATCH(A254,cnpj!$A:$A,0))),"")</f>
        <v>01.568.407/0001-82</v>
      </c>
      <c r="C254" s="5" t="str">
        <f aca="false">IF(B254="","",RIGHT("00000000000000"&amp;SUBSTITUTE(SUBSTITUTE(SUBSTITUTE(SUBSTITUTE(B254,".",""),"/",""),"-","")," ",""),14))</f>
        <v>01568407000182</v>
      </c>
      <c r="D254" s="5" t="str">
        <f aca="false">IF(C254="","",MID(C254,1,2)&amp;"."&amp;MID(C254,3,3)&amp;"."&amp;MID(C254,6,3)&amp;"/"&amp;MID(C254,9,4)&amp;"-"&amp;MID(C254,13,2))</f>
        <v>01.568.407/0001-82</v>
      </c>
      <c r="E254" s="4" t="str">
        <f aca="false">IF(ISNA(MATCH(A254,cnpj!$A:$A,0)),"Lotação não existe na aba cnpj",IF(B254="","Sem CNPJ na aba cnpj","OK"))</f>
        <v>OK</v>
      </c>
    </row>
    <row r="255" customFormat="false" ht="15" hidden="false" customHeight="false" outlineLevel="0" collapsed="false">
      <c r="A255" s="4" t="n">
        <f aca="false">sisgi!A255</f>
        <v>14869</v>
      </c>
      <c r="B255" s="5" t="str">
        <f aca="false">IFERROR(IF(INDEX(cnpj!$B:$B,MATCH(A255,cnpj!$A:$A,0))="","",INDEX(cnpj!$B:$B,MATCH(A255,cnpj!$A:$A,0))),"")</f>
        <v>01.912.869/0001-75</v>
      </c>
      <c r="C255" s="5" t="str">
        <f aca="false">IF(B255="","",RIGHT("00000000000000"&amp;SUBSTITUTE(SUBSTITUTE(SUBSTITUTE(SUBSTITUTE(B255,".",""),"/",""),"-","")," ",""),14))</f>
        <v>01912869000175</v>
      </c>
      <c r="D255" s="5" t="str">
        <f aca="false">IF(C255="","",MID(C255,1,2)&amp;"."&amp;MID(C255,3,3)&amp;"."&amp;MID(C255,6,3)&amp;"/"&amp;MID(C255,9,4)&amp;"-"&amp;MID(C255,13,2))</f>
        <v>01.912.869/0001-75</v>
      </c>
      <c r="E255" s="4" t="str">
        <f aca="false">IF(ISNA(MATCH(A255,cnpj!$A:$A,0)),"Lotação não existe na aba cnpj",IF(B255="","Sem CNPJ na aba cnpj","OK"))</f>
        <v>OK</v>
      </c>
    </row>
    <row r="256" customFormat="false" ht="15" hidden="false" customHeight="false" outlineLevel="0" collapsed="false">
      <c r="A256" s="4" t="n">
        <f aca="false">sisgi!A256</f>
        <v>14877</v>
      </c>
      <c r="B256" s="5" t="str">
        <f aca="false">IFERROR(IF(INDEX(cnpj!$B:$B,MATCH(A256,cnpj!$A:$A,0))="","",INDEX(cnpj!$B:$B,MATCH(A256,cnpj!$A:$A,0))),"")</f>
        <v>03.643.780/0001-86</v>
      </c>
      <c r="C256" s="5" t="str">
        <f aca="false">IF(B256="","",RIGHT("00000000000000"&amp;SUBSTITUTE(SUBSTITUTE(SUBSTITUTE(SUBSTITUTE(B256,".",""),"/",""),"-","")," ",""),14))</f>
        <v>03643780000186</v>
      </c>
      <c r="D256" s="5" t="str">
        <f aca="false">IF(C256="","",MID(C256,1,2)&amp;"."&amp;MID(C256,3,3)&amp;"."&amp;MID(C256,6,3)&amp;"/"&amp;MID(C256,9,4)&amp;"-"&amp;MID(C256,13,2))</f>
        <v>03.643.780/0001-86</v>
      </c>
      <c r="E256" s="4" t="str">
        <f aca="false">IF(ISNA(MATCH(A256,cnpj!$A:$A,0)),"Lotação não existe na aba cnpj",IF(B256="","Sem CNPJ na aba cnpj","OK"))</f>
        <v>OK</v>
      </c>
    </row>
    <row r="257" customFormat="false" ht="15" hidden="false" customHeight="false" outlineLevel="0" collapsed="false">
      <c r="A257" s="4" t="n">
        <f aca="false">sisgi!A257</f>
        <v>14885</v>
      </c>
      <c r="B257" s="5" t="str">
        <f aca="false">IFERROR(IF(INDEX(cnpj!$B:$B,MATCH(A257,cnpj!$A:$A,0))="","",INDEX(cnpj!$B:$B,MATCH(A257,cnpj!$A:$A,0))),"")</f>
        <v>00.177.303/0001-84</v>
      </c>
      <c r="C257" s="5" t="str">
        <f aca="false">IF(B257="","",RIGHT("00000000000000"&amp;SUBSTITUTE(SUBSTITUTE(SUBSTITUTE(SUBSTITUTE(B257,".",""),"/",""),"-","")," ",""),14))</f>
        <v>00177303000184</v>
      </c>
      <c r="D257" s="5" t="str">
        <f aca="false">IF(C257="","",MID(C257,1,2)&amp;"."&amp;MID(C257,3,3)&amp;"."&amp;MID(C257,6,3)&amp;"/"&amp;MID(C257,9,4)&amp;"-"&amp;MID(C257,13,2))</f>
        <v>00.177.303/0001-84</v>
      </c>
      <c r="E257" s="4" t="str">
        <f aca="false">IF(ISNA(MATCH(A257,cnpj!$A:$A,0)),"Lotação não existe na aba cnpj",IF(B257="","Sem CNPJ na aba cnpj","OK"))</f>
        <v>OK</v>
      </c>
    </row>
    <row r="258" customFormat="false" ht="15" hidden="false" customHeight="false" outlineLevel="0" collapsed="false">
      <c r="A258" s="4" t="n">
        <f aca="false">sisgi!A258</f>
        <v>14893</v>
      </c>
      <c r="B258" s="5" t="str">
        <f aca="false">IFERROR(IF(INDEX(cnpj!$B:$B,MATCH(A258,cnpj!$A:$A,0))="","",INDEX(cnpj!$B:$B,MATCH(A258,cnpj!$A:$A,0))),"")</f>
        <v>02.682.050/0001-21</v>
      </c>
      <c r="C258" s="5" t="str">
        <f aca="false">IF(B258="","",RIGHT("00000000000000"&amp;SUBSTITUTE(SUBSTITUTE(SUBSTITUTE(SUBSTITUTE(B258,".",""),"/",""),"-","")," ",""),14))</f>
        <v>02682050000121</v>
      </c>
      <c r="D258" s="5" t="str">
        <f aca="false">IF(C258="","",MID(C258,1,2)&amp;"."&amp;MID(C258,3,3)&amp;"."&amp;MID(C258,6,3)&amp;"/"&amp;MID(C258,9,4)&amp;"-"&amp;MID(C258,13,2))</f>
        <v>02.682.050/0001-21</v>
      </c>
      <c r="E258" s="4" t="str">
        <f aca="false">IF(ISNA(MATCH(A258,cnpj!$A:$A,0)),"Lotação não existe na aba cnpj",IF(B258="","Sem CNPJ na aba cnpj","OK"))</f>
        <v>OK</v>
      </c>
    </row>
    <row r="259" customFormat="false" ht="15" hidden="false" customHeight="false" outlineLevel="0" collapsed="false">
      <c r="A259" s="4" t="n">
        <f aca="false">sisgi!A259</f>
        <v>14940</v>
      </c>
      <c r="B259" s="5" t="str">
        <f aca="false">IFERROR(IF(INDEX(cnpj!$B:$B,MATCH(A259,cnpj!$A:$A,0))="","",INDEX(cnpj!$B:$B,MATCH(A259,cnpj!$A:$A,0))),"")</f>
        <v>01.974.658/0001-67</v>
      </c>
      <c r="C259" s="5" t="str">
        <f aca="false">IF(B259="","",RIGHT("00000000000000"&amp;SUBSTITUTE(SUBSTITUTE(SUBSTITUTE(SUBSTITUTE(B259,".",""),"/",""),"-","")," ",""),14))</f>
        <v>01974658000167</v>
      </c>
      <c r="D259" s="5" t="str">
        <f aca="false">IF(C259="","",MID(C259,1,2)&amp;"."&amp;MID(C259,3,3)&amp;"."&amp;MID(C259,6,3)&amp;"/"&amp;MID(C259,9,4)&amp;"-"&amp;MID(C259,13,2))</f>
        <v>01.974.658/0001-67</v>
      </c>
      <c r="E259" s="4" t="str">
        <f aca="false">IF(ISNA(MATCH(A259,cnpj!$A:$A,0)),"Lotação não existe na aba cnpj",IF(B259="","Sem CNPJ na aba cnpj","OK"))</f>
        <v>OK</v>
      </c>
    </row>
    <row r="260" customFormat="false" ht="15" hidden="false" customHeight="false" outlineLevel="0" collapsed="false">
      <c r="A260" s="4" t="n">
        <f aca="false">sisgi!A260</f>
        <v>14958</v>
      </c>
      <c r="B260" s="5" t="str">
        <f aca="false">IFERROR(IF(INDEX(cnpj!$B:$B,MATCH(A260,cnpj!$A:$A,0))="","",INDEX(cnpj!$B:$B,MATCH(A260,cnpj!$A:$A,0))),"")</f>
        <v>02.031.082/0001-67</v>
      </c>
      <c r="C260" s="5" t="str">
        <f aca="false">IF(B260="","",RIGHT("00000000000000"&amp;SUBSTITUTE(SUBSTITUTE(SUBSTITUTE(SUBSTITUTE(B260,".",""),"/",""),"-","")," ",""),14))</f>
        <v>02031082000167</v>
      </c>
      <c r="D260" s="5" t="str">
        <f aca="false">IF(C260="","",MID(C260,1,2)&amp;"."&amp;MID(C260,3,3)&amp;"."&amp;MID(C260,6,3)&amp;"/"&amp;MID(C260,9,4)&amp;"-"&amp;MID(C260,13,2))</f>
        <v>02.031.082/0001-67</v>
      </c>
      <c r="E260" s="4" t="str">
        <f aca="false">IF(ISNA(MATCH(A260,cnpj!$A:$A,0)),"Lotação não existe na aba cnpj",IF(B260="","Sem CNPJ na aba cnpj","OK"))</f>
        <v>OK</v>
      </c>
    </row>
    <row r="261" customFormat="false" ht="15" hidden="false" customHeight="false" outlineLevel="0" collapsed="false">
      <c r="A261" s="4" t="n">
        <f aca="false">sisgi!A261</f>
        <v>14982</v>
      </c>
      <c r="B261" s="5" t="str">
        <f aca="false">IFERROR(IF(INDEX(cnpj!$B:$B,MATCH(A261,cnpj!$A:$A,0))="","",INDEX(cnpj!$B:$B,MATCH(A261,cnpj!$A:$A,0))),"")</f>
        <v>02.754.632/0001-76</v>
      </c>
      <c r="C261" s="5" t="str">
        <f aca="false">IF(B261="","",RIGHT("00000000000000"&amp;SUBSTITUTE(SUBSTITUTE(SUBSTITUTE(SUBSTITUTE(B261,".",""),"/",""),"-","")," ",""),14))</f>
        <v>02754632000176</v>
      </c>
      <c r="D261" s="5" t="str">
        <f aca="false">IF(C261="","",MID(C261,1,2)&amp;"."&amp;MID(C261,3,3)&amp;"."&amp;MID(C261,6,3)&amp;"/"&amp;MID(C261,9,4)&amp;"-"&amp;MID(C261,13,2))</f>
        <v>02.754.632/0001-76</v>
      </c>
      <c r="E261" s="4" t="str">
        <f aca="false">IF(ISNA(MATCH(A261,cnpj!$A:$A,0)),"Lotação não existe na aba cnpj",IF(B261="","Sem CNPJ na aba cnpj","OK"))</f>
        <v>OK</v>
      </c>
    </row>
    <row r="262" customFormat="false" ht="15" hidden="false" customHeight="false" outlineLevel="0" collapsed="false">
      <c r="A262" s="4" t="n">
        <f aca="false">sisgi!A262</f>
        <v>15008</v>
      </c>
      <c r="B262" s="5" t="str">
        <f aca="false">IFERROR(IF(INDEX(cnpj!$B:$B,MATCH(A262,cnpj!$A:$A,0))="","",INDEX(cnpj!$B:$B,MATCH(A262,cnpj!$A:$A,0))),"")</f>
        <v>02.614.986/0001-15</v>
      </c>
      <c r="C262" s="5" t="str">
        <f aca="false">IF(B262="","",RIGHT("00000000000000"&amp;SUBSTITUTE(SUBSTITUTE(SUBSTITUTE(SUBSTITUTE(B262,".",""),"/",""),"-","")," ",""),14))</f>
        <v>02614986000115</v>
      </c>
      <c r="D262" s="5" t="str">
        <f aca="false">IF(C262="","",MID(C262,1,2)&amp;"."&amp;MID(C262,3,3)&amp;"."&amp;MID(C262,6,3)&amp;"/"&amp;MID(C262,9,4)&amp;"-"&amp;MID(C262,13,2))</f>
        <v>02.614.986/0001-15</v>
      </c>
      <c r="E262" s="4" t="str">
        <f aca="false">IF(ISNA(MATCH(A262,cnpj!$A:$A,0)),"Lotação não existe na aba cnpj",IF(B262="","Sem CNPJ na aba cnpj","OK"))</f>
        <v>OK</v>
      </c>
    </row>
    <row r="263" customFormat="false" ht="15" hidden="false" customHeight="false" outlineLevel="0" collapsed="false">
      <c r="A263" s="4" t="n">
        <f aca="false">sisgi!A263</f>
        <v>15032</v>
      </c>
      <c r="B263" s="5" t="str">
        <f aca="false">IFERROR(IF(INDEX(cnpj!$B:$B,MATCH(A263,cnpj!$A:$A,0))="","",INDEX(cnpj!$B:$B,MATCH(A263,cnpj!$A:$A,0))),"")</f>
        <v>01.484.929/0001-04</v>
      </c>
      <c r="C263" s="5" t="str">
        <f aca="false">IF(B263="","",RIGHT("00000000000000"&amp;SUBSTITUTE(SUBSTITUTE(SUBSTITUTE(SUBSTITUTE(B263,".",""),"/",""),"-","")," ",""),14))</f>
        <v>01484929000104</v>
      </c>
      <c r="D263" s="5" t="str">
        <f aca="false">IF(C263="","",MID(C263,1,2)&amp;"."&amp;MID(C263,3,3)&amp;"."&amp;MID(C263,6,3)&amp;"/"&amp;MID(C263,9,4)&amp;"-"&amp;MID(C263,13,2))</f>
        <v>01.484.929/0001-04</v>
      </c>
      <c r="E263" s="4" t="str">
        <f aca="false">IF(ISNA(MATCH(A263,cnpj!$A:$A,0)),"Lotação não existe na aba cnpj",IF(B263="","Sem CNPJ na aba cnpj","OK"))</f>
        <v>OK</v>
      </c>
    </row>
    <row r="264" customFormat="false" ht="15" hidden="false" customHeight="false" outlineLevel="0" collapsed="false">
      <c r="A264" s="4" t="n">
        <f aca="false">sisgi!A264</f>
        <v>15059</v>
      </c>
      <c r="B264" s="5" t="str">
        <f aca="false">IFERROR(IF(INDEX(cnpj!$B:$B,MATCH(A264,cnpj!$A:$A,0))="","",INDEX(cnpj!$B:$B,MATCH(A264,cnpj!$A:$A,0))),"")</f>
        <v>01.484.931/0001-75</v>
      </c>
      <c r="C264" s="5" t="str">
        <f aca="false">IF(B264="","",RIGHT("00000000000000"&amp;SUBSTITUTE(SUBSTITUTE(SUBSTITUTE(SUBSTITUTE(B264,".",""),"/",""),"-","")," ",""),14))</f>
        <v>01484931000175</v>
      </c>
      <c r="D264" s="5" t="str">
        <f aca="false">IF(C264="","",MID(C264,1,2)&amp;"."&amp;MID(C264,3,3)&amp;"."&amp;MID(C264,6,3)&amp;"/"&amp;MID(C264,9,4)&amp;"-"&amp;MID(C264,13,2))</f>
        <v>01.484.931/0001-75</v>
      </c>
      <c r="E264" s="4" t="str">
        <f aca="false">IF(ISNA(MATCH(A264,cnpj!$A:$A,0)),"Lotação não existe na aba cnpj",IF(B264="","Sem CNPJ na aba cnpj","OK"))</f>
        <v>OK</v>
      </c>
    </row>
    <row r="265" customFormat="false" ht="15" hidden="false" customHeight="false" outlineLevel="0" collapsed="false">
      <c r="A265" s="4" t="n">
        <f aca="false">sisgi!A265</f>
        <v>15067</v>
      </c>
      <c r="B265" s="5" t="str">
        <f aca="false">IFERROR(IF(INDEX(cnpj!$B:$B,MATCH(A265,cnpj!$A:$A,0))="","",INDEX(cnpj!$B:$B,MATCH(A265,cnpj!$A:$A,0))),"")</f>
        <v>01.424.682/0001-22</v>
      </c>
      <c r="C265" s="5" t="str">
        <f aca="false">IF(B265="","",RIGHT("00000000000000"&amp;SUBSTITUTE(SUBSTITUTE(SUBSTITUTE(SUBSTITUTE(B265,".",""),"/",""),"-","")," ",""),14))</f>
        <v>01424682000122</v>
      </c>
      <c r="D265" s="5" t="str">
        <f aca="false">IF(C265="","",MID(C265,1,2)&amp;"."&amp;MID(C265,3,3)&amp;"."&amp;MID(C265,6,3)&amp;"/"&amp;MID(C265,9,4)&amp;"-"&amp;MID(C265,13,2))</f>
        <v>01.424.682/0001-22</v>
      </c>
      <c r="E265" s="4" t="str">
        <f aca="false">IF(ISNA(MATCH(A265,cnpj!$A:$A,0)),"Lotação não existe na aba cnpj",IF(B265="","Sem CNPJ na aba cnpj","OK"))</f>
        <v>OK</v>
      </c>
    </row>
    <row r="266" customFormat="false" ht="15" hidden="false" customHeight="false" outlineLevel="0" collapsed="false">
      <c r="A266" s="4" t="n">
        <f aca="false">sisgi!A266</f>
        <v>15075</v>
      </c>
      <c r="B266" s="5" t="str">
        <f aca="false">IFERROR(IF(INDEX(cnpj!$B:$B,MATCH(A266,cnpj!$A:$A,0))="","",INDEX(cnpj!$B:$B,MATCH(A266,cnpj!$A:$A,0))),"")</f>
        <v>01.556.348/0001-22</v>
      </c>
      <c r="C266" s="5" t="str">
        <f aca="false">IF(B266="","",RIGHT("00000000000000"&amp;SUBSTITUTE(SUBSTITUTE(SUBSTITUTE(SUBSTITUTE(B266,".",""),"/",""),"-","")," ",""),14))</f>
        <v>01556348000122</v>
      </c>
      <c r="D266" s="5" t="str">
        <f aca="false">IF(C266="","",MID(C266,1,2)&amp;"."&amp;MID(C266,3,3)&amp;"."&amp;MID(C266,6,3)&amp;"/"&amp;MID(C266,9,4)&amp;"-"&amp;MID(C266,13,2))</f>
        <v>01.556.348/0001-22</v>
      </c>
      <c r="E266" s="4" t="str">
        <f aca="false">IF(ISNA(MATCH(A266,cnpj!$A:$A,0)),"Lotação não existe na aba cnpj",IF(B266="","Sem CNPJ na aba cnpj","OK"))</f>
        <v>OK</v>
      </c>
    </row>
    <row r="267" customFormat="false" ht="15" hidden="false" customHeight="false" outlineLevel="0" collapsed="false">
      <c r="A267" s="4" t="n">
        <f aca="false">sisgi!A267</f>
        <v>15091</v>
      </c>
      <c r="B267" s="5" t="str">
        <f aca="false">IFERROR(IF(INDEX(cnpj!$B:$B,MATCH(A267,cnpj!$A:$A,0))="","",INDEX(cnpj!$B:$B,MATCH(A267,cnpj!$A:$A,0))),"")</f>
        <v>01.772.790/0001-96</v>
      </c>
      <c r="C267" s="5" t="str">
        <f aca="false">IF(B267="","",RIGHT("00000000000000"&amp;SUBSTITUTE(SUBSTITUTE(SUBSTITUTE(SUBSTITUTE(B267,".",""),"/",""),"-","")," ",""),14))</f>
        <v>01772790000196</v>
      </c>
      <c r="D267" s="5" t="str">
        <f aca="false">IF(C267="","",MID(C267,1,2)&amp;"."&amp;MID(C267,3,3)&amp;"."&amp;MID(C267,6,3)&amp;"/"&amp;MID(C267,9,4)&amp;"-"&amp;MID(C267,13,2))</f>
        <v>01.772.790/0001-96</v>
      </c>
      <c r="E267" s="4" t="str">
        <f aca="false">IF(ISNA(MATCH(A267,cnpj!$A:$A,0)),"Lotação não existe na aba cnpj",IF(B267="","Sem CNPJ na aba cnpj","OK"))</f>
        <v>OK</v>
      </c>
    </row>
    <row r="268" customFormat="false" ht="15" hidden="false" customHeight="false" outlineLevel="0" collapsed="false">
      <c r="A268" s="4" t="n">
        <f aca="false">sisgi!A268</f>
        <v>15105</v>
      </c>
      <c r="B268" s="5" t="str">
        <f aca="false">IFERROR(IF(INDEX(cnpj!$B:$B,MATCH(A268,cnpj!$A:$A,0))="","",INDEX(cnpj!$B:$B,MATCH(A268,cnpj!$A:$A,0))),"")</f>
        <v>01.885.348/0001-76</v>
      </c>
      <c r="C268" s="5" t="str">
        <f aca="false">IF(B268="","",RIGHT("00000000000000"&amp;SUBSTITUTE(SUBSTITUTE(SUBSTITUTE(SUBSTITUTE(B268,".",""),"/",""),"-","")," ",""),14))</f>
        <v>01885348000176</v>
      </c>
      <c r="D268" s="5" t="str">
        <f aca="false">IF(C268="","",MID(C268,1,2)&amp;"."&amp;MID(C268,3,3)&amp;"."&amp;MID(C268,6,3)&amp;"/"&amp;MID(C268,9,4)&amp;"-"&amp;MID(C268,13,2))</f>
        <v>01.885.348/0001-76</v>
      </c>
      <c r="E268" s="4" t="str">
        <f aca="false">IF(ISNA(MATCH(A268,cnpj!$A:$A,0)),"Lotação não existe na aba cnpj",IF(B268="","Sem CNPJ na aba cnpj","OK"))</f>
        <v>OK</v>
      </c>
    </row>
    <row r="269" customFormat="false" ht="15" hidden="false" customHeight="false" outlineLevel="0" collapsed="false">
      <c r="A269" s="4" t="n">
        <f aca="false">sisgi!A269</f>
        <v>15130</v>
      </c>
      <c r="B269" s="5" t="str">
        <f aca="false">IFERROR(IF(INDEX(cnpj!$B:$B,MATCH(A269,cnpj!$A:$A,0))="","",INDEX(cnpj!$B:$B,MATCH(A269,cnpj!$A:$A,0))),"")</f>
        <v>14.952.931/0001-02</v>
      </c>
      <c r="C269" s="5" t="str">
        <f aca="false">IF(B269="","",RIGHT("00000000000000"&amp;SUBSTITUTE(SUBSTITUTE(SUBSTITUTE(SUBSTITUTE(B269,".",""),"/",""),"-","")," ",""),14))</f>
        <v>14952931000102</v>
      </c>
      <c r="D269" s="5" t="str">
        <f aca="false">IF(C269="","",MID(C269,1,2)&amp;"."&amp;MID(C269,3,3)&amp;"."&amp;MID(C269,6,3)&amp;"/"&amp;MID(C269,9,4)&amp;"-"&amp;MID(C269,13,2))</f>
        <v>14.952.931/0001-02</v>
      </c>
      <c r="E269" s="4" t="str">
        <f aca="false">IF(ISNA(MATCH(A269,cnpj!$A:$A,0)),"Lotação não existe na aba cnpj",IF(B269="","Sem CNPJ na aba cnpj","OK"))</f>
        <v>OK</v>
      </c>
    </row>
    <row r="270" customFormat="false" ht="15" hidden="false" customHeight="false" outlineLevel="0" collapsed="false">
      <c r="A270" s="4" t="n">
        <f aca="false">sisgi!A270</f>
        <v>15172</v>
      </c>
      <c r="B270" s="5" t="str">
        <f aca="false">IFERROR(IF(INDEX(cnpj!$B:$B,MATCH(A270,cnpj!$A:$A,0))="","",INDEX(cnpj!$B:$B,MATCH(A270,cnpj!$A:$A,0))),"")</f>
        <v>01.534.166/0001-50</v>
      </c>
      <c r="C270" s="5" t="str">
        <f aca="false">IF(B270="","",RIGHT("00000000000000"&amp;SUBSTITUTE(SUBSTITUTE(SUBSTITUTE(SUBSTITUTE(B270,".",""),"/",""),"-","")," ",""),14))</f>
        <v>01534166000150</v>
      </c>
      <c r="D270" s="5" t="str">
        <f aca="false">IF(C270="","",MID(C270,1,2)&amp;"."&amp;MID(C270,3,3)&amp;"."&amp;MID(C270,6,3)&amp;"/"&amp;MID(C270,9,4)&amp;"-"&amp;MID(C270,13,2))</f>
        <v>01.534.166/0001-50</v>
      </c>
      <c r="E270" s="4" t="str">
        <f aca="false">IF(ISNA(MATCH(A270,cnpj!$A:$A,0)),"Lotação não existe na aba cnpj",IF(B270="","Sem CNPJ na aba cnpj","OK"))</f>
        <v>OK</v>
      </c>
    </row>
    <row r="271" customFormat="false" ht="15" hidden="false" customHeight="false" outlineLevel="0" collapsed="false">
      <c r="A271" s="4" t="n">
        <f aca="false">sisgi!A271</f>
        <v>15180</v>
      </c>
      <c r="B271" s="5" t="str">
        <f aca="false">IFERROR(IF(INDEX(cnpj!$B:$B,MATCH(A271,cnpj!$A:$A,0))="","",INDEX(cnpj!$B:$B,MATCH(A271,cnpj!$A:$A,0))),"")</f>
        <v>01.955.272/0001-08</v>
      </c>
      <c r="C271" s="5" t="str">
        <f aca="false">IF(B271="","",RIGHT("00000000000000"&amp;SUBSTITUTE(SUBSTITUTE(SUBSTITUTE(SUBSTITUTE(B271,".",""),"/",""),"-","")," ",""),14))</f>
        <v>01955272000108</v>
      </c>
      <c r="D271" s="5" t="str">
        <f aca="false">IF(C271="","",MID(C271,1,2)&amp;"."&amp;MID(C271,3,3)&amp;"."&amp;MID(C271,6,3)&amp;"/"&amp;MID(C271,9,4)&amp;"-"&amp;MID(C271,13,2))</f>
        <v>01.955.272/0001-08</v>
      </c>
      <c r="E271" s="4" t="str">
        <f aca="false">IF(ISNA(MATCH(A271,cnpj!$A:$A,0)),"Lotação não existe na aba cnpj",IF(B271="","Sem CNPJ na aba cnpj","OK"))</f>
        <v>OK</v>
      </c>
    </row>
    <row r="272" customFormat="false" ht="15" hidden="false" customHeight="false" outlineLevel="0" collapsed="false">
      <c r="A272" s="4" t="n">
        <f aca="false">sisgi!A272</f>
        <v>15210</v>
      </c>
      <c r="B272" s="5" t="str">
        <f aca="false">IFERROR(IF(INDEX(cnpj!$B:$B,MATCH(A272,cnpj!$A:$A,0))="","",INDEX(cnpj!$B:$B,MATCH(A272,cnpj!$A:$A,0))),"")</f>
        <v>01.552.919/0001-50</v>
      </c>
      <c r="C272" s="5" t="str">
        <f aca="false">IF(B272="","",RIGHT("00000000000000"&amp;SUBSTITUTE(SUBSTITUTE(SUBSTITUTE(SUBSTITUTE(B272,".",""),"/",""),"-","")," ",""),14))</f>
        <v>01552919000150</v>
      </c>
      <c r="D272" s="5" t="str">
        <f aca="false">IF(C272="","",MID(C272,1,2)&amp;"."&amp;MID(C272,3,3)&amp;"."&amp;MID(C272,6,3)&amp;"/"&amp;MID(C272,9,4)&amp;"-"&amp;MID(C272,13,2))</f>
        <v>01.552.919/0001-50</v>
      </c>
      <c r="E272" s="4" t="str">
        <f aca="false">IF(ISNA(MATCH(A272,cnpj!$A:$A,0)),"Lotação não existe na aba cnpj",IF(B272="","Sem CNPJ na aba cnpj","OK"))</f>
        <v>OK</v>
      </c>
    </row>
    <row r="273" customFormat="false" ht="15" hidden="false" customHeight="false" outlineLevel="0" collapsed="false">
      <c r="A273" s="4" t="n">
        <f aca="false">sisgi!A273</f>
        <v>15237</v>
      </c>
      <c r="B273" s="5" t="str">
        <f aca="false">IFERROR(IF(INDEX(cnpj!$B:$B,MATCH(A273,cnpj!$A:$A,0))="","",INDEX(cnpj!$B:$B,MATCH(A273,cnpj!$A:$A,0))),"")</f>
        <v>01.572.923/0001-80</v>
      </c>
      <c r="C273" s="5" t="str">
        <f aca="false">IF(B273="","",RIGHT("00000000000000"&amp;SUBSTITUTE(SUBSTITUTE(SUBSTITUTE(SUBSTITUTE(B273,".",""),"/",""),"-","")," ",""),14))</f>
        <v>01572923000180</v>
      </c>
      <c r="D273" s="5" t="str">
        <f aca="false">IF(C273="","",MID(C273,1,2)&amp;"."&amp;MID(C273,3,3)&amp;"."&amp;MID(C273,6,3)&amp;"/"&amp;MID(C273,9,4)&amp;"-"&amp;MID(C273,13,2))</f>
        <v>01.572.923/0001-80</v>
      </c>
      <c r="E273" s="4" t="str">
        <f aca="false">IF(ISNA(MATCH(A273,cnpj!$A:$A,0)),"Lotação não existe na aba cnpj",IF(B273="","Sem CNPJ na aba cnpj","OK"))</f>
        <v>OK</v>
      </c>
    </row>
    <row r="274" customFormat="false" ht="15" hidden="false" customHeight="false" outlineLevel="0" collapsed="false">
      <c r="A274" s="4" t="n">
        <f aca="false">sisgi!A274</f>
        <v>15253</v>
      </c>
      <c r="B274" s="5" t="str">
        <f aca="false">IFERROR(IF(INDEX(cnpj!$B:$B,MATCH(A274,cnpj!$A:$A,0))="","",INDEX(cnpj!$B:$B,MATCH(A274,cnpj!$A:$A,0))),"")</f>
        <v>01.812.406/0001-31</v>
      </c>
      <c r="C274" s="5" t="str">
        <f aca="false">IF(B274="","",RIGHT("00000000000000"&amp;SUBSTITUTE(SUBSTITUTE(SUBSTITUTE(SUBSTITUTE(B274,".",""),"/",""),"-","")," ",""),14))</f>
        <v>01812406000131</v>
      </c>
      <c r="D274" s="5" t="str">
        <f aca="false">IF(C274="","",MID(C274,1,2)&amp;"."&amp;MID(C274,3,3)&amp;"."&amp;MID(C274,6,3)&amp;"/"&amp;MID(C274,9,4)&amp;"-"&amp;MID(C274,13,2))</f>
        <v>01.812.406/0001-31</v>
      </c>
      <c r="E274" s="4" t="str">
        <f aca="false">IF(ISNA(MATCH(A274,cnpj!$A:$A,0)),"Lotação não existe na aba cnpj",IF(B274="","Sem CNPJ na aba cnpj","OK"))</f>
        <v>OK</v>
      </c>
    </row>
    <row r="275" customFormat="false" ht="15" hidden="false" customHeight="false" outlineLevel="0" collapsed="false">
      <c r="A275" s="4" t="n">
        <f aca="false">sisgi!A275</f>
        <v>15261</v>
      </c>
      <c r="B275" s="5" t="str">
        <f aca="false">IFERROR(IF(INDEX(cnpj!$B:$B,MATCH(A275,cnpj!$A:$A,0))="","",INDEX(cnpj!$B:$B,MATCH(A275,cnpj!$A:$A,0))),"")</f>
        <v>01.544.336/0001-88</v>
      </c>
      <c r="C275" s="5" t="str">
        <f aca="false">IF(B275="","",RIGHT("00000000000000"&amp;SUBSTITUTE(SUBSTITUTE(SUBSTITUTE(SUBSTITUTE(B275,".",""),"/",""),"-","")," ",""),14))</f>
        <v>01544336000188</v>
      </c>
      <c r="D275" s="5" t="str">
        <f aca="false">IF(C275="","",MID(C275,1,2)&amp;"."&amp;MID(C275,3,3)&amp;"."&amp;MID(C275,6,3)&amp;"/"&amp;MID(C275,9,4)&amp;"-"&amp;MID(C275,13,2))</f>
        <v>01.544.336/0001-88</v>
      </c>
      <c r="E275" s="4" t="str">
        <f aca="false">IF(ISNA(MATCH(A275,cnpj!$A:$A,0)),"Lotação não existe na aba cnpj",IF(B275="","Sem CNPJ na aba cnpj","OK"))</f>
        <v>OK</v>
      </c>
    </row>
    <row r="276" customFormat="false" ht="15" hidden="false" customHeight="false" outlineLevel="0" collapsed="false">
      <c r="A276" s="4" t="n">
        <f aca="false">sisgi!A276</f>
        <v>15300</v>
      </c>
      <c r="B276" s="5" t="str">
        <f aca="false">IFERROR(IF(INDEX(cnpj!$B:$B,MATCH(A276,cnpj!$A:$A,0))="","",INDEX(cnpj!$B:$B,MATCH(A276,cnpj!$A:$A,0))),"")</f>
        <v>01.552.917/0001-61</v>
      </c>
      <c r="C276" s="5" t="str">
        <f aca="false">IF(B276="","",RIGHT("00000000000000"&amp;SUBSTITUTE(SUBSTITUTE(SUBSTITUTE(SUBSTITUTE(B276,".",""),"/",""),"-","")," ",""),14))</f>
        <v>01552917000161</v>
      </c>
      <c r="D276" s="5" t="str">
        <f aca="false">IF(C276="","",MID(C276,1,2)&amp;"."&amp;MID(C276,3,3)&amp;"."&amp;MID(C276,6,3)&amp;"/"&amp;MID(C276,9,4)&amp;"-"&amp;MID(C276,13,2))</f>
        <v>01.552.917/0001-61</v>
      </c>
      <c r="E276" s="4" t="str">
        <f aca="false">IF(ISNA(MATCH(A276,cnpj!$A:$A,0)),"Lotação não existe na aba cnpj",IF(B276="","Sem CNPJ na aba cnpj","OK"))</f>
        <v>OK</v>
      </c>
    </row>
    <row r="277" customFormat="false" ht="15" hidden="false" customHeight="false" outlineLevel="0" collapsed="false">
      <c r="A277" s="4" t="n">
        <f aca="false">sisgi!A277</f>
        <v>15334</v>
      </c>
      <c r="B277" s="5" t="str">
        <f aca="false">IFERROR(IF(INDEX(cnpj!$B:$B,MATCH(A277,cnpj!$A:$A,0))="","",INDEX(cnpj!$B:$B,MATCH(A277,cnpj!$A:$A,0))),"")</f>
        <v>03.711.646/0001-75</v>
      </c>
      <c r="C277" s="5" t="str">
        <f aca="false">IF(B277="","",RIGHT("00000000000000"&amp;SUBSTITUTE(SUBSTITUTE(SUBSTITUTE(SUBSTITUTE(B277,".",""),"/",""),"-","")," ",""),14))</f>
        <v>03711646000175</v>
      </c>
      <c r="D277" s="5" t="str">
        <f aca="false">IF(C277="","",MID(C277,1,2)&amp;"."&amp;MID(C277,3,3)&amp;"."&amp;MID(C277,6,3)&amp;"/"&amp;MID(C277,9,4)&amp;"-"&amp;MID(C277,13,2))</f>
        <v>03.711.646/0001-75</v>
      </c>
      <c r="E277" s="4" t="str">
        <f aca="false">IF(ISNA(MATCH(A277,cnpj!$A:$A,0)),"Lotação não existe na aba cnpj",IF(B277="","Sem CNPJ na aba cnpj","OK"))</f>
        <v>OK</v>
      </c>
    </row>
    <row r="278" customFormat="false" ht="15" hidden="false" customHeight="false" outlineLevel="0" collapsed="false">
      <c r="A278" s="4" t="n">
        <f aca="false">sisgi!A278</f>
        <v>15350</v>
      </c>
      <c r="B278" s="5" t="str">
        <f aca="false">IFERROR(IF(INDEX(cnpj!$B:$B,MATCH(A278,cnpj!$A:$A,0))="","",INDEX(cnpj!$B:$B,MATCH(A278,cnpj!$A:$A,0))),"")</f>
        <v>02.010.868/0001-06</v>
      </c>
      <c r="C278" s="5" t="str">
        <f aca="false">IF(B278="","",RIGHT("00000000000000"&amp;SUBSTITUTE(SUBSTITUTE(SUBSTITUTE(SUBSTITUTE(B278,".",""),"/",""),"-","")," ",""),14))</f>
        <v>02010868000106</v>
      </c>
      <c r="D278" s="5" t="str">
        <f aca="false">IF(C278="","",MID(C278,1,2)&amp;"."&amp;MID(C278,3,3)&amp;"."&amp;MID(C278,6,3)&amp;"/"&amp;MID(C278,9,4)&amp;"-"&amp;MID(C278,13,2))</f>
        <v>02.010.868/0001-06</v>
      </c>
      <c r="E278" s="4" t="str">
        <f aca="false">IF(ISNA(MATCH(A278,cnpj!$A:$A,0)),"Lotação não existe na aba cnpj",IF(B278="","Sem CNPJ na aba cnpj","OK"))</f>
        <v>OK</v>
      </c>
    </row>
    <row r="279" customFormat="false" ht="15" hidden="false" customHeight="false" outlineLevel="0" collapsed="false">
      <c r="A279" s="4" t="n">
        <f aca="false">sisgi!A279</f>
        <v>15369</v>
      </c>
      <c r="B279" s="5" t="str">
        <f aca="false">IFERROR(IF(INDEX(cnpj!$B:$B,MATCH(A279,cnpj!$A:$A,0))="","",INDEX(cnpj!$B:$B,MATCH(A279,cnpj!$A:$A,0))),"")</f>
        <v>02.010.867/0001-53</v>
      </c>
      <c r="C279" s="5" t="str">
        <f aca="false">IF(B279="","",RIGHT("00000000000000"&amp;SUBSTITUTE(SUBSTITUTE(SUBSTITUTE(SUBSTITUTE(B279,".",""),"/",""),"-","")," ",""),14))</f>
        <v>02010867000153</v>
      </c>
      <c r="D279" s="5" t="str">
        <f aca="false">IF(C279="","",MID(C279,1,2)&amp;"."&amp;MID(C279,3,3)&amp;"."&amp;MID(C279,6,3)&amp;"/"&amp;MID(C279,9,4)&amp;"-"&amp;MID(C279,13,2))</f>
        <v>02.010.867/0001-53</v>
      </c>
      <c r="E279" s="4" t="str">
        <f aca="false">IF(ISNA(MATCH(A279,cnpj!$A:$A,0)),"Lotação não existe na aba cnpj",IF(B279="","Sem CNPJ na aba cnpj","OK"))</f>
        <v>OK</v>
      </c>
    </row>
    <row r="280" customFormat="false" ht="15" hidden="false" customHeight="false" outlineLevel="0" collapsed="false">
      <c r="A280" s="4" t="n">
        <f aca="false">sisgi!A280</f>
        <v>15377</v>
      </c>
      <c r="B280" s="5" t="str">
        <f aca="false">IFERROR(IF(INDEX(cnpj!$B:$B,MATCH(A280,cnpj!$A:$A,0))="","",INDEX(cnpj!$B:$B,MATCH(A280,cnpj!$A:$A,0))),"")</f>
        <v>03.073.321/0001-04</v>
      </c>
      <c r="C280" s="5" t="str">
        <f aca="false">IF(B280="","",RIGHT("00000000000000"&amp;SUBSTITUTE(SUBSTITUTE(SUBSTITUTE(SUBSTITUTE(B280,".",""),"/",""),"-","")," ",""),14))</f>
        <v>03073321000104</v>
      </c>
      <c r="D280" s="5" t="str">
        <f aca="false">IF(C280="","",MID(C280,1,2)&amp;"."&amp;MID(C280,3,3)&amp;"."&amp;MID(C280,6,3)&amp;"/"&amp;MID(C280,9,4)&amp;"-"&amp;MID(C280,13,2))</f>
        <v>03.073.321/0001-04</v>
      </c>
      <c r="E280" s="4" t="str">
        <f aca="false">IF(ISNA(MATCH(A280,cnpj!$A:$A,0)),"Lotação não existe na aba cnpj",IF(B280="","Sem CNPJ na aba cnpj","OK"))</f>
        <v>OK</v>
      </c>
    </row>
    <row r="281" customFormat="false" ht="15" hidden="false" customHeight="false" outlineLevel="0" collapsed="false">
      <c r="A281" s="4" t="n">
        <f aca="false">sisgi!A281</f>
        <v>15385</v>
      </c>
      <c r="B281" s="5" t="str">
        <f aca="false">IFERROR(IF(INDEX(cnpj!$B:$B,MATCH(A281,cnpj!$A:$A,0))="","",INDEX(cnpj!$B:$B,MATCH(A281,cnpj!$A:$A,0))),"")</f>
        <v>03.643.023/0001-02</v>
      </c>
      <c r="C281" s="5" t="str">
        <f aca="false">IF(B281="","",RIGHT("00000000000000"&amp;SUBSTITUTE(SUBSTITUTE(SUBSTITUTE(SUBSTITUTE(B281,".",""),"/",""),"-","")," ",""),14))</f>
        <v>03643023000102</v>
      </c>
      <c r="D281" s="5" t="str">
        <f aca="false">IF(C281="","",MID(C281,1,2)&amp;"."&amp;MID(C281,3,3)&amp;"."&amp;MID(C281,6,3)&amp;"/"&amp;MID(C281,9,4)&amp;"-"&amp;MID(C281,13,2))</f>
        <v>03.643.023/0001-02</v>
      </c>
      <c r="E281" s="4" t="str">
        <f aca="false">IF(ISNA(MATCH(A281,cnpj!$A:$A,0)),"Lotação não existe na aba cnpj",IF(B281="","Sem CNPJ na aba cnpj","OK"))</f>
        <v>OK</v>
      </c>
    </row>
    <row r="282" customFormat="false" ht="15" hidden="false" customHeight="false" outlineLevel="0" collapsed="false">
      <c r="A282" s="4" t="n">
        <f aca="false">sisgi!A282</f>
        <v>15393</v>
      </c>
      <c r="B282" s="5" t="str">
        <f aca="false">IFERROR(IF(INDEX(cnpj!$B:$B,MATCH(A282,cnpj!$A:$A,0))="","",INDEX(cnpj!$B:$B,MATCH(A282,cnpj!$A:$A,0))),"")</f>
        <v>01.918.268/0001-70</v>
      </c>
      <c r="C282" s="5" t="str">
        <f aca="false">IF(B282="","",RIGHT("00000000000000"&amp;SUBSTITUTE(SUBSTITUTE(SUBSTITUTE(SUBSTITUTE(B282,".",""),"/",""),"-","")," ",""),14))</f>
        <v>01918268000170</v>
      </c>
      <c r="D282" s="5" t="str">
        <f aca="false">IF(C282="","",MID(C282,1,2)&amp;"."&amp;MID(C282,3,3)&amp;"."&amp;MID(C282,6,3)&amp;"/"&amp;MID(C282,9,4)&amp;"-"&amp;MID(C282,13,2))</f>
        <v>01.918.268/0001-70</v>
      </c>
      <c r="E282" s="4" t="str">
        <f aca="false">IF(ISNA(MATCH(A282,cnpj!$A:$A,0)),"Lotação não existe na aba cnpj",IF(B282="","Sem CNPJ na aba cnpj","OK"))</f>
        <v>OK</v>
      </c>
    </row>
    <row r="283" customFormat="false" ht="15" hidden="false" customHeight="false" outlineLevel="0" collapsed="false">
      <c r="A283" s="4" t="n">
        <f aca="false">sisgi!A283</f>
        <v>15407</v>
      </c>
      <c r="B283" s="5" t="str">
        <f aca="false">IFERROR(IF(INDEX(cnpj!$B:$B,MATCH(A283,cnpj!$A:$A,0))="","",INDEX(cnpj!$B:$B,MATCH(A283,cnpj!$A:$A,0))),"")</f>
        <v>01.940.334/0001-08</v>
      </c>
      <c r="C283" s="5" t="str">
        <f aca="false">IF(B283="","",RIGHT("00000000000000"&amp;SUBSTITUTE(SUBSTITUTE(SUBSTITUTE(SUBSTITUTE(B283,".",""),"/",""),"-","")," ",""),14))</f>
        <v>01940334000108</v>
      </c>
      <c r="D283" s="5" t="str">
        <f aca="false">IF(C283="","",MID(C283,1,2)&amp;"."&amp;MID(C283,3,3)&amp;"."&amp;MID(C283,6,3)&amp;"/"&amp;MID(C283,9,4)&amp;"-"&amp;MID(C283,13,2))</f>
        <v>01.940.334/0001-08</v>
      </c>
      <c r="E283" s="4" t="str">
        <f aca="false">IF(ISNA(MATCH(A283,cnpj!$A:$A,0)),"Lotação não existe na aba cnpj",IF(B283="","Sem CNPJ na aba cnpj","OK"))</f>
        <v>OK</v>
      </c>
    </row>
    <row r="284" customFormat="false" ht="15" hidden="false" customHeight="false" outlineLevel="0" collapsed="false">
      <c r="A284" s="4" t="n">
        <f aca="false">sisgi!A284</f>
        <v>15423</v>
      </c>
      <c r="B284" s="5" t="str">
        <f aca="false">IFERROR(IF(INDEX(cnpj!$B:$B,MATCH(A284,cnpj!$A:$A,0))="","",INDEX(cnpj!$B:$B,MATCH(A284,cnpj!$A:$A,0))),"")</f>
        <v>02.081.088/0001-49</v>
      </c>
      <c r="C284" s="5" t="str">
        <f aca="false">IF(B284="","",RIGHT("00000000000000"&amp;SUBSTITUTE(SUBSTITUTE(SUBSTITUTE(SUBSTITUTE(B284,".",""),"/",""),"-","")," ",""),14))</f>
        <v>02081088000149</v>
      </c>
      <c r="D284" s="5" t="str">
        <f aca="false">IF(C284="","",MID(C284,1,2)&amp;"."&amp;MID(C284,3,3)&amp;"."&amp;MID(C284,6,3)&amp;"/"&amp;MID(C284,9,4)&amp;"-"&amp;MID(C284,13,2))</f>
        <v>02.081.088/0001-49</v>
      </c>
      <c r="E284" s="4" t="str">
        <f aca="false">IF(ISNA(MATCH(A284,cnpj!$A:$A,0)),"Lotação não existe na aba cnpj",IF(B284="","Sem CNPJ na aba cnpj","OK"))</f>
        <v>OK</v>
      </c>
    </row>
    <row r="285" customFormat="false" ht="15" hidden="false" customHeight="false" outlineLevel="0" collapsed="false">
      <c r="A285" s="4" t="n">
        <f aca="false">sisgi!A285</f>
        <v>15474</v>
      </c>
      <c r="B285" s="5" t="str">
        <f aca="false">IFERROR(IF(INDEX(cnpj!$B:$B,MATCH(A285,cnpj!$A:$A,0))="","",INDEX(cnpj!$B:$B,MATCH(A285,cnpj!$A:$A,0))),"")</f>
        <v>01.350.294/0001-44</v>
      </c>
      <c r="C285" s="5" t="str">
        <f aca="false">IF(B285="","",RIGHT("00000000000000"&amp;SUBSTITUTE(SUBSTITUTE(SUBSTITUTE(SUBSTITUTE(B285,".",""),"/",""),"-","")," ",""),14))</f>
        <v>01350294000144</v>
      </c>
      <c r="D285" s="5" t="str">
        <f aca="false">IF(C285="","",MID(C285,1,2)&amp;"."&amp;MID(C285,3,3)&amp;"."&amp;MID(C285,6,3)&amp;"/"&amp;MID(C285,9,4)&amp;"-"&amp;MID(C285,13,2))</f>
        <v>01.350.294/0001-44</v>
      </c>
      <c r="E285" s="4" t="str">
        <f aca="false">IF(ISNA(MATCH(A285,cnpj!$A:$A,0)),"Lotação não existe na aba cnpj",IF(B285="","Sem CNPJ na aba cnpj","OK"))</f>
        <v>OK</v>
      </c>
    </row>
    <row r="286" customFormat="false" ht="15" hidden="false" customHeight="false" outlineLevel="0" collapsed="false">
      <c r="A286" s="4" t="n">
        <f aca="false">sisgi!A286</f>
        <v>15482</v>
      </c>
      <c r="B286" s="5" t="str">
        <f aca="false">IFERROR(IF(INDEX(cnpj!$B:$B,MATCH(A286,cnpj!$A:$A,0))="","",INDEX(cnpj!$B:$B,MATCH(A286,cnpj!$A:$A,0))),"")</f>
        <v>01.347.952/0001-49</v>
      </c>
      <c r="C286" s="5" t="str">
        <f aca="false">IF(B286="","",RIGHT("00000000000000"&amp;SUBSTITUTE(SUBSTITUTE(SUBSTITUTE(SUBSTITUTE(B286,".",""),"/",""),"-","")," ",""),14))</f>
        <v>01347952000149</v>
      </c>
      <c r="D286" s="5" t="str">
        <f aca="false">IF(C286="","",MID(C286,1,2)&amp;"."&amp;MID(C286,3,3)&amp;"."&amp;MID(C286,6,3)&amp;"/"&amp;MID(C286,9,4)&amp;"-"&amp;MID(C286,13,2))</f>
        <v>01.347.952/0001-49</v>
      </c>
      <c r="E286" s="4" t="str">
        <f aca="false">IF(ISNA(MATCH(A286,cnpj!$A:$A,0)),"Lotação não existe na aba cnpj",IF(B286="","Sem CNPJ na aba cnpj","OK"))</f>
        <v>OK</v>
      </c>
    </row>
    <row r="287" customFormat="false" ht="15" hidden="false" customHeight="false" outlineLevel="0" collapsed="false">
      <c r="A287" s="4" t="n">
        <f aca="false">sisgi!A287</f>
        <v>15504</v>
      </c>
      <c r="B287" s="5" t="str">
        <f aca="false">IFERROR(IF(INDEX(cnpj!$B:$B,MATCH(A287,cnpj!$A:$A,0))="","",INDEX(cnpj!$B:$B,MATCH(A287,cnpj!$A:$A,0))),"")</f>
        <v>01.347.959/0001-60</v>
      </c>
      <c r="C287" s="5" t="str">
        <f aca="false">IF(B287="","",RIGHT("00000000000000"&amp;SUBSTITUTE(SUBSTITUTE(SUBSTITUTE(SUBSTITUTE(B287,".",""),"/",""),"-","")," ",""),14))</f>
        <v>01347959000160</v>
      </c>
      <c r="D287" s="5" t="str">
        <f aca="false">IF(C287="","",MID(C287,1,2)&amp;"."&amp;MID(C287,3,3)&amp;"."&amp;MID(C287,6,3)&amp;"/"&amp;MID(C287,9,4)&amp;"-"&amp;MID(C287,13,2))</f>
        <v>01.347.959/0001-60</v>
      </c>
      <c r="E287" s="4" t="str">
        <f aca="false">IF(ISNA(MATCH(A287,cnpj!$A:$A,0)),"Lotação não existe na aba cnpj",IF(B287="","Sem CNPJ na aba cnpj","OK"))</f>
        <v>OK</v>
      </c>
    </row>
    <row r="288" customFormat="false" ht="15" hidden="false" customHeight="false" outlineLevel="0" collapsed="false">
      <c r="A288" s="4" t="n">
        <f aca="false">sisgi!A288</f>
        <v>15547</v>
      </c>
      <c r="B288" s="5" t="str">
        <f aca="false">IFERROR(IF(INDEX(cnpj!$B:$B,MATCH(A288,cnpj!$A:$A,0))="","",INDEX(cnpj!$B:$B,MATCH(A288,cnpj!$A:$A,0))),"")</f>
        <v>01.347.956/0001-27</v>
      </c>
      <c r="C288" s="5" t="str">
        <f aca="false">IF(B288="","",RIGHT("00000000000000"&amp;SUBSTITUTE(SUBSTITUTE(SUBSTITUTE(SUBSTITUTE(B288,".",""),"/",""),"-","")," ",""),14))</f>
        <v>01347956000127</v>
      </c>
      <c r="D288" s="5" t="str">
        <f aca="false">IF(C288="","",MID(C288,1,2)&amp;"."&amp;MID(C288,3,3)&amp;"."&amp;MID(C288,6,3)&amp;"/"&amp;MID(C288,9,4)&amp;"-"&amp;MID(C288,13,2))</f>
        <v>01.347.956/0001-27</v>
      </c>
      <c r="E288" s="4" t="str">
        <f aca="false">IF(ISNA(MATCH(A288,cnpj!$A:$A,0)),"Lotação não existe na aba cnpj",IF(B288="","Sem CNPJ na aba cnpj","OK"))</f>
        <v>OK</v>
      </c>
    </row>
    <row r="289" customFormat="false" ht="15" hidden="false" customHeight="false" outlineLevel="0" collapsed="false">
      <c r="A289" s="4" t="n">
        <f aca="false">sisgi!A289</f>
        <v>15601</v>
      </c>
      <c r="B289" s="5" t="str">
        <f aca="false">IFERROR(IF(INDEX(cnpj!$B:$B,MATCH(A289,cnpj!$A:$A,0))="","",INDEX(cnpj!$B:$B,MATCH(A289,cnpj!$A:$A,0))),"")</f>
        <v>01.454.413/0001-09</v>
      </c>
      <c r="C289" s="5" t="str">
        <f aca="false">IF(B289="","",RIGHT("00000000000000"&amp;SUBSTITUTE(SUBSTITUTE(SUBSTITUTE(SUBSTITUTE(B289,".",""),"/",""),"-","")," ",""),14))</f>
        <v>01454413000109</v>
      </c>
      <c r="D289" s="5" t="str">
        <f aca="false">IF(C289="","",MID(C289,1,2)&amp;"."&amp;MID(C289,3,3)&amp;"."&amp;MID(C289,6,3)&amp;"/"&amp;MID(C289,9,4)&amp;"-"&amp;MID(C289,13,2))</f>
        <v>01.454.413/0001-09</v>
      </c>
      <c r="E289" s="4" t="str">
        <f aca="false">IF(ISNA(MATCH(A289,cnpj!$A:$A,0)),"Lotação não existe na aba cnpj",IF(B289="","Sem CNPJ na aba cnpj","OK"))</f>
        <v>OK</v>
      </c>
    </row>
    <row r="290" customFormat="false" ht="15" hidden="false" customHeight="false" outlineLevel="0" collapsed="false">
      <c r="A290" s="4" t="n">
        <f aca="false">sisgi!A290</f>
        <v>15610</v>
      </c>
      <c r="B290" s="5" t="str">
        <f aca="false">IFERROR(IF(INDEX(cnpj!$B:$B,MATCH(A290,cnpj!$A:$A,0))="","",INDEX(cnpj!$B:$B,MATCH(A290,cnpj!$A:$A,0))),"")</f>
        <v>01.325.669/0001-16</v>
      </c>
      <c r="C290" s="5" t="str">
        <f aca="false">IF(B290="","",RIGHT("00000000000000"&amp;SUBSTITUTE(SUBSTITUTE(SUBSTITUTE(SUBSTITUTE(B290,".",""),"/",""),"-","")," ",""),14))</f>
        <v>01325669000116</v>
      </c>
      <c r="D290" s="5" t="str">
        <f aca="false">IF(C290="","",MID(C290,1,2)&amp;"."&amp;MID(C290,3,3)&amp;"."&amp;MID(C290,6,3)&amp;"/"&amp;MID(C290,9,4)&amp;"-"&amp;MID(C290,13,2))</f>
        <v>01.325.669/0001-16</v>
      </c>
      <c r="E290" s="4" t="str">
        <f aca="false">IF(ISNA(MATCH(A290,cnpj!$A:$A,0)),"Lotação não existe na aba cnpj",IF(B290="","Sem CNPJ na aba cnpj","OK"))</f>
        <v>OK</v>
      </c>
    </row>
    <row r="291" customFormat="false" ht="15" hidden="false" customHeight="false" outlineLevel="0" collapsed="false">
      <c r="A291" s="4" t="n">
        <f aca="false">sisgi!A291</f>
        <v>15636</v>
      </c>
      <c r="B291" s="5" t="str">
        <f aca="false">IFERROR(IF(INDEX(cnpj!$B:$B,MATCH(A291,cnpj!$A:$A,0))="","",INDEX(cnpj!$B:$B,MATCH(A291,cnpj!$A:$A,0))),"")</f>
        <v>01.568.410/0001-04</v>
      </c>
      <c r="C291" s="5" t="str">
        <f aca="false">IF(B291="","",RIGHT("00000000000000"&amp;SUBSTITUTE(SUBSTITUTE(SUBSTITUTE(SUBSTITUTE(B291,".",""),"/",""),"-","")," ",""),14))</f>
        <v>01568410000104</v>
      </c>
      <c r="D291" s="5" t="str">
        <f aca="false">IF(C291="","",MID(C291,1,2)&amp;"."&amp;MID(C291,3,3)&amp;"."&amp;MID(C291,6,3)&amp;"/"&amp;MID(C291,9,4)&amp;"-"&amp;MID(C291,13,2))</f>
        <v>01.568.410/0001-04</v>
      </c>
      <c r="E291" s="4" t="str">
        <f aca="false">IF(ISNA(MATCH(A291,cnpj!$A:$A,0)),"Lotação não existe na aba cnpj",IF(B291="","Sem CNPJ na aba cnpj","OK"))</f>
        <v>OK</v>
      </c>
    </row>
    <row r="292" customFormat="false" ht="15" hidden="false" customHeight="false" outlineLevel="0" collapsed="false">
      <c r="A292" s="4" t="n">
        <f aca="false">sisgi!A292</f>
        <v>15644</v>
      </c>
      <c r="B292" s="5" t="str">
        <f aca="false">IFERROR(IF(INDEX(cnpj!$B:$B,MATCH(A292,cnpj!$A:$A,0))="","",INDEX(cnpj!$B:$B,MATCH(A292,cnpj!$A:$A,0))),"")</f>
        <v>01.609.143/0001-68</v>
      </c>
      <c r="C292" s="5" t="str">
        <f aca="false">IF(B292="","",RIGHT("00000000000000"&amp;SUBSTITUTE(SUBSTITUTE(SUBSTITUTE(SUBSTITUTE(B292,".",""),"/",""),"-","")," ",""),14))</f>
        <v>01609143000168</v>
      </c>
      <c r="D292" s="5" t="str">
        <f aca="false">IF(C292="","",MID(C292,1,2)&amp;"."&amp;MID(C292,3,3)&amp;"."&amp;MID(C292,6,3)&amp;"/"&amp;MID(C292,9,4)&amp;"-"&amp;MID(C292,13,2))</f>
        <v>01.609.143/0001-68</v>
      </c>
      <c r="E292" s="4" t="str">
        <f aca="false">IF(ISNA(MATCH(A292,cnpj!$A:$A,0)),"Lotação não existe na aba cnpj",IF(B292="","Sem CNPJ na aba cnpj","OK"))</f>
        <v>OK</v>
      </c>
    </row>
    <row r="293" customFormat="false" ht="15" hidden="false" customHeight="false" outlineLevel="0" collapsed="false">
      <c r="A293" s="4" t="n">
        <f aca="false">sisgi!A293</f>
        <v>15652</v>
      </c>
      <c r="B293" s="5" t="str">
        <f aca="false">IFERROR(IF(INDEX(cnpj!$B:$B,MATCH(A293,cnpj!$A:$A,0))="","",INDEX(cnpj!$B:$B,MATCH(A293,cnpj!$A:$A,0))),"")</f>
        <v>01.463.907/0001-50</v>
      </c>
      <c r="C293" s="5" t="str">
        <f aca="false">IF(B293="","",RIGHT("00000000000000"&amp;SUBSTITUTE(SUBSTITUTE(SUBSTITUTE(SUBSTITUTE(B293,".",""),"/",""),"-","")," ",""),14))</f>
        <v>01463907000150</v>
      </c>
      <c r="D293" s="5" t="str">
        <f aca="false">IF(C293="","",MID(C293,1,2)&amp;"."&amp;MID(C293,3,3)&amp;"."&amp;MID(C293,6,3)&amp;"/"&amp;MID(C293,9,4)&amp;"-"&amp;MID(C293,13,2))</f>
        <v>01.463.907/0001-50</v>
      </c>
      <c r="E293" s="4" t="str">
        <f aca="false">IF(ISNA(MATCH(A293,cnpj!$A:$A,0)),"Lotação não existe na aba cnpj",IF(B293="","Sem CNPJ na aba cnpj","OK"))</f>
        <v>OK</v>
      </c>
    </row>
    <row r="294" customFormat="false" ht="15" hidden="false" customHeight="false" outlineLevel="0" collapsed="false">
      <c r="A294" s="4" t="n">
        <f aca="false">sisgi!A294</f>
        <v>15687</v>
      </c>
      <c r="B294" s="5" t="str">
        <f aca="false">IFERROR(IF(INDEX(cnpj!$B:$B,MATCH(A294,cnpj!$A:$A,0))="","",INDEX(cnpj!$B:$B,MATCH(A294,cnpj!$A:$A,0))),"")</f>
        <v>07.328.621/0001-48</v>
      </c>
      <c r="C294" s="5" t="str">
        <f aca="false">IF(B294="","",RIGHT("00000000000000"&amp;SUBSTITUTE(SUBSTITUTE(SUBSTITUTE(SUBSTITUTE(B294,".",""),"/",""),"-","")," ",""),14))</f>
        <v>07328621000148</v>
      </c>
      <c r="D294" s="5" t="str">
        <f aca="false">IF(C294="","",MID(C294,1,2)&amp;"."&amp;MID(C294,3,3)&amp;"."&amp;MID(C294,6,3)&amp;"/"&amp;MID(C294,9,4)&amp;"-"&amp;MID(C294,13,2))</f>
        <v>07.328.621/0001-48</v>
      </c>
      <c r="E294" s="4" t="str">
        <f aca="false">IF(ISNA(MATCH(A294,cnpj!$A:$A,0)),"Lotação não existe na aba cnpj",IF(B294="","Sem CNPJ na aba cnpj","OK"))</f>
        <v>OK</v>
      </c>
    </row>
    <row r="295" customFormat="false" ht="15" hidden="false" customHeight="false" outlineLevel="0" collapsed="false">
      <c r="A295" s="4" t="n">
        <f aca="false">sisgi!A295</f>
        <v>15741</v>
      </c>
      <c r="B295" s="5" t="str">
        <f aca="false">IFERROR(IF(INDEX(cnpj!$B:$B,MATCH(A295,cnpj!$A:$A,0))="","",INDEX(cnpj!$B:$B,MATCH(A295,cnpj!$A:$A,0))),"")</f>
        <v>06.197.210/0001-06</v>
      </c>
      <c r="C295" s="5" t="str">
        <f aca="false">IF(B295="","",RIGHT("00000000000000"&amp;SUBSTITUTE(SUBSTITUTE(SUBSTITUTE(SUBSTITUTE(B295,".",""),"/",""),"-","")," ",""),14))</f>
        <v>06197210000106</v>
      </c>
      <c r="D295" s="5" t="str">
        <f aca="false">IF(C295="","",MID(C295,1,2)&amp;"."&amp;MID(C295,3,3)&amp;"."&amp;MID(C295,6,3)&amp;"/"&amp;MID(C295,9,4)&amp;"-"&amp;MID(C295,13,2))</f>
        <v>06.197.210/0001-06</v>
      </c>
      <c r="E295" s="4" t="str">
        <f aca="false">IF(ISNA(MATCH(A295,cnpj!$A:$A,0)),"Lotação não existe na aba cnpj",IF(B295="","Sem CNPJ na aba cnpj","OK"))</f>
        <v>OK</v>
      </c>
    </row>
    <row r="296" customFormat="false" ht="15" hidden="false" customHeight="false" outlineLevel="0" collapsed="false">
      <c r="A296" s="4" t="n">
        <f aca="false">sisgi!A296</f>
        <v>15792</v>
      </c>
      <c r="B296" s="5" t="str">
        <f aca="false">IFERROR(IF(INDEX(cnpj!$B:$B,MATCH(A296,cnpj!$A:$A,0))="","",INDEX(cnpj!$B:$B,MATCH(A296,cnpj!$A:$A,0))),"")</f>
        <v>03.182.552/0001-56</v>
      </c>
      <c r="C296" s="5" t="str">
        <f aca="false">IF(B296="","",RIGHT("00000000000000"&amp;SUBSTITUTE(SUBSTITUTE(SUBSTITUTE(SUBSTITUTE(B296,".",""),"/",""),"-","")," ",""),14))</f>
        <v>03182552000156</v>
      </c>
      <c r="D296" s="5" t="str">
        <f aca="false">IF(C296="","",MID(C296,1,2)&amp;"."&amp;MID(C296,3,3)&amp;"."&amp;MID(C296,6,3)&amp;"/"&amp;MID(C296,9,4)&amp;"-"&amp;MID(C296,13,2))</f>
        <v>03.182.552/0001-56</v>
      </c>
      <c r="E296" s="4" t="str">
        <f aca="false">IF(ISNA(MATCH(A296,cnpj!$A:$A,0)),"Lotação não existe na aba cnpj",IF(B296="","Sem CNPJ na aba cnpj","OK"))</f>
        <v>OK</v>
      </c>
    </row>
    <row r="297" customFormat="false" ht="15" hidden="false" customHeight="false" outlineLevel="0" collapsed="false">
      <c r="A297" s="4" t="n">
        <f aca="false">sisgi!A297</f>
        <v>15806</v>
      </c>
      <c r="B297" s="5" t="str">
        <f aca="false">IFERROR(IF(INDEX(cnpj!$B:$B,MATCH(A297,cnpj!$A:$A,0))="","",INDEX(cnpj!$B:$B,MATCH(A297,cnpj!$A:$A,0))),"")</f>
        <v>04.139.343/0001-92</v>
      </c>
      <c r="C297" s="5" t="str">
        <f aca="false">IF(B297="","",RIGHT("00000000000000"&amp;SUBSTITUTE(SUBSTITUTE(SUBSTITUTE(SUBSTITUTE(B297,".",""),"/",""),"-","")," ",""),14))</f>
        <v>04139343000192</v>
      </c>
      <c r="D297" s="5" t="str">
        <f aca="false">IF(C297="","",MID(C297,1,2)&amp;"."&amp;MID(C297,3,3)&amp;"."&amp;MID(C297,6,3)&amp;"/"&amp;MID(C297,9,4)&amp;"-"&amp;MID(C297,13,2))</f>
        <v>04.139.343/0001-92</v>
      </c>
      <c r="E297" s="4" t="str">
        <f aca="false">IF(ISNA(MATCH(A297,cnpj!$A:$A,0)),"Lotação não existe na aba cnpj",IF(B297="","Sem CNPJ na aba cnpj","OK"))</f>
        <v>OK</v>
      </c>
    </row>
    <row r="298" customFormat="false" ht="15" hidden="false" customHeight="false" outlineLevel="0" collapsed="false">
      <c r="A298" s="4" t="n">
        <f aca="false">sisgi!A298</f>
        <v>15814</v>
      </c>
      <c r="B298" s="5" t="str">
        <f aca="false">IFERROR(IF(INDEX(cnpj!$B:$B,MATCH(A298,cnpj!$A:$A,0))="","",INDEX(cnpj!$B:$B,MATCH(A298,cnpj!$A:$A,0))),"")</f>
        <v>01.884.340/0001-95</v>
      </c>
      <c r="C298" s="5" t="str">
        <f aca="false">IF(B298="","",RIGHT("00000000000000"&amp;SUBSTITUTE(SUBSTITUTE(SUBSTITUTE(SUBSTITUTE(B298,".",""),"/",""),"-","")," ",""),14))</f>
        <v>01884340000195</v>
      </c>
      <c r="D298" s="5" t="str">
        <f aca="false">IF(C298="","",MID(C298,1,2)&amp;"."&amp;MID(C298,3,3)&amp;"."&amp;MID(C298,6,3)&amp;"/"&amp;MID(C298,9,4)&amp;"-"&amp;MID(C298,13,2))</f>
        <v>01.884.340/0001-95</v>
      </c>
      <c r="E298" s="4" t="str">
        <f aca="false">IF(ISNA(MATCH(A298,cnpj!$A:$A,0)),"Lotação não existe na aba cnpj",IF(B298="","Sem CNPJ na aba cnpj","OK"))</f>
        <v>OK</v>
      </c>
    </row>
    <row r="299" customFormat="false" ht="15" hidden="false" customHeight="false" outlineLevel="0" collapsed="false">
      <c r="A299" s="4" t="n">
        <f aca="false">sisgi!A299</f>
        <v>15849</v>
      </c>
      <c r="B299" s="5" t="str">
        <f aca="false">IFERROR(IF(INDEX(cnpj!$B:$B,MATCH(A299,cnpj!$A:$A,0))="","",INDEX(cnpj!$B:$B,MATCH(A299,cnpj!$A:$A,0))),"")</f>
        <v>06.208.303/0001-80</v>
      </c>
      <c r="C299" s="5" t="str">
        <f aca="false">IF(B299="","",RIGHT("00000000000000"&amp;SUBSTITUTE(SUBSTITUTE(SUBSTITUTE(SUBSTITUTE(B299,".",""),"/",""),"-","")," ",""),14))</f>
        <v>06208303000180</v>
      </c>
      <c r="D299" s="5" t="str">
        <f aca="false">IF(C299="","",MID(C299,1,2)&amp;"."&amp;MID(C299,3,3)&amp;"."&amp;MID(C299,6,3)&amp;"/"&amp;MID(C299,9,4)&amp;"-"&amp;MID(C299,13,2))</f>
        <v>06.208.303/0001-80</v>
      </c>
      <c r="E299" s="4" t="str">
        <f aca="false">IF(ISNA(MATCH(A299,cnpj!$A:$A,0)),"Lotação não existe na aba cnpj",IF(B299="","Sem CNPJ na aba cnpj","OK"))</f>
        <v>OK</v>
      </c>
    </row>
    <row r="300" customFormat="false" ht="15" hidden="false" customHeight="false" outlineLevel="0" collapsed="false">
      <c r="A300" s="4" t="n">
        <f aca="false">sisgi!A300</f>
        <v>15865</v>
      </c>
      <c r="B300" s="5" t="str">
        <f aca="false">IFERROR(IF(INDEX(cnpj!$B:$B,MATCH(A300,cnpj!$A:$A,0))="","",INDEX(cnpj!$B:$B,MATCH(A300,cnpj!$A:$A,0))),"")</f>
        <v>02.082.728/0001-35</v>
      </c>
      <c r="C300" s="5" t="str">
        <f aca="false">IF(B300="","",RIGHT("00000000000000"&amp;SUBSTITUTE(SUBSTITUTE(SUBSTITUTE(SUBSTITUTE(B300,".",""),"/",""),"-","")," ",""),14))</f>
        <v>02082728000135</v>
      </c>
      <c r="D300" s="5" t="str">
        <f aca="false">IF(C300="","",MID(C300,1,2)&amp;"."&amp;MID(C300,3,3)&amp;"."&amp;MID(C300,6,3)&amp;"/"&amp;MID(C300,9,4)&amp;"-"&amp;MID(C300,13,2))</f>
        <v>02.082.728/0001-35</v>
      </c>
      <c r="E300" s="4" t="str">
        <f aca="false">IF(ISNA(MATCH(A300,cnpj!$A:$A,0)),"Lotação não existe na aba cnpj",IF(B300="","Sem CNPJ na aba cnpj","OK"))</f>
        <v>OK</v>
      </c>
    </row>
    <row r="301" customFormat="false" ht="15" hidden="false" customHeight="false" outlineLevel="0" collapsed="false">
      <c r="A301" s="4" t="n">
        <f aca="false">sisgi!A301</f>
        <v>15873</v>
      </c>
      <c r="B301" s="5" t="str">
        <f aca="false">IFERROR(IF(INDEX(cnpj!$B:$B,MATCH(A301,cnpj!$A:$A,0))="","",INDEX(cnpj!$B:$B,MATCH(A301,cnpj!$A:$A,0))),"")</f>
        <v>02.637.535/0001-01</v>
      </c>
      <c r="C301" s="5" t="str">
        <f aca="false">IF(B301="","",RIGHT("00000000000000"&amp;SUBSTITUTE(SUBSTITUTE(SUBSTITUTE(SUBSTITUTE(B301,".",""),"/",""),"-","")," ",""),14))</f>
        <v>02637535000101</v>
      </c>
      <c r="D301" s="5" t="str">
        <f aca="false">IF(C301="","",MID(C301,1,2)&amp;"."&amp;MID(C301,3,3)&amp;"."&amp;MID(C301,6,3)&amp;"/"&amp;MID(C301,9,4)&amp;"-"&amp;MID(C301,13,2))</f>
        <v>02.637.535/0001-01</v>
      </c>
      <c r="E301" s="4" t="str">
        <f aca="false">IF(ISNA(MATCH(A301,cnpj!$A:$A,0)),"Lotação não existe na aba cnpj",IF(B301="","Sem CNPJ na aba cnpj","OK"))</f>
        <v>OK</v>
      </c>
    </row>
    <row r="302" customFormat="false" ht="15" hidden="false" customHeight="false" outlineLevel="0" collapsed="false">
      <c r="A302" s="4" t="n">
        <f aca="false">sisgi!A302</f>
        <v>15890</v>
      </c>
      <c r="B302" s="5" t="str">
        <f aca="false">IFERROR(IF(INDEX(cnpj!$B:$B,MATCH(A302,cnpj!$A:$A,0))="","",INDEX(cnpj!$B:$B,MATCH(A302,cnpj!$A:$A,0))),"")</f>
        <v>03.927.415/0001-01</v>
      </c>
      <c r="C302" s="5" t="str">
        <f aca="false">IF(B302="","",RIGHT("00000000000000"&amp;SUBSTITUTE(SUBSTITUTE(SUBSTITUTE(SUBSTITUTE(B302,".",""),"/",""),"-","")," ",""),14))</f>
        <v>03927415000101</v>
      </c>
      <c r="D302" s="5" t="str">
        <f aca="false">IF(C302="","",MID(C302,1,2)&amp;"."&amp;MID(C302,3,3)&amp;"."&amp;MID(C302,6,3)&amp;"/"&amp;MID(C302,9,4)&amp;"-"&amp;MID(C302,13,2))</f>
        <v>03.927.415/0001-01</v>
      </c>
      <c r="E302" s="4" t="str">
        <f aca="false">IF(ISNA(MATCH(A302,cnpj!$A:$A,0)),"Lotação não existe na aba cnpj",IF(B302="","Sem CNPJ na aba cnpj","OK"))</f>
        <v>OK</v>
      </c>
    </row>
    <row r="303" customFormat="false" ht="15" hidden="false" customHeight="false" outlineLevel="0" collapsed="false">
      <c r="A303" s="4" t="n">
        <f aca="false">sisgi!A303</f>
        <v>15903</v>
      </c>
      <c r="B303" s="5" t="str">
        <f aca="false">IFERROR(IF(INDEX(cnpj!$B:$B,MATCH(A303,cnpj!$A:$A,0))="","",INDEX(cnpj!$B:$B,MATCH(A303,cnpj!$A:$A,0))),"")</f>
        <v>02.608.135/0001-60</v>
      </c>
      <c r="C303" s="5" t="str">
        <f aca="false">IF(B303="","",RIGHT("00000000000000"&amp;SUBSTITUTE(SUBSTITUTE(SUBSTITUTE(SUBSTITUTE(B303,".",""),"/",""),"-","")," ",""),14))</f>
        <v>02608135000160</v>
      </c>
      <c r="D303" s="5" t="str">
        <f aca="false">IF(C303="","",MID(C303,1,2)&amp;"."&amp;MID(C303,3,3)&amp;"."&amp;MID(C303,6,3)&amp;"/"&amp;MID(C303,9,4)&amp;"-"&amp;MID(C303,13,2))</f>
        <v>02.608.135/0001-60</v>
      </c>
      <c r="E303" s="4" t="str">
        <f aca="false">IF(ISNA(MATCH(A303,cnpj!$A:$A,0)),"Lotação não existe na aba cnpj",IF(B303="","Sem CNPJ na aba cnpj","OK"))</f>
        <v>OK</v>
      </c>
    </row>
    <row r="304" customFormat="false" ht="15" hidden="false" customHeight="false" outlineLevel="0" collapsed="false">
      <c r="A304" s="4" t="n">
        <f aca="false">sisgi!A304</f>
        <v>15911</v>
      </c>
      <c r="B304" s="5" t="str">
        <f aca="false">IFERROR(IF(INDEX(cnpj!$B:$B,MATCH(A304,cnpj!$A:$A,0))="","",INDEX(cnpj!$B:$B,MATCH(A304,cnpj!$A:$A,0))),"")</f>
        <v>02.506.865/0001-50</v>
      </c>
      <c r="C304" s="5" t="str">
        <f aca="false">IF(B304="","",RIGHT("00000000000000"&amp;SUBSTITUTE(SUBSTITUTE(SUBSTITUTE(SUBSTITUTE(B304,".",""),"/",""),"-","")," ",""),14))</f>
        <v>02506865000150</v>
      </c>
      <c r="D304" s="5" t="str">
        <f aca="false">IF(C304="","",MID(C304,1,2)&amp;"."&amp;MID(C304,3,3)&amp;"."&amp;MID(C304,6,3)&amp;"/"&amp;MID(C304,9,4)&amp;"-"&amp;MID(C304,13,2))</f>
        <v>02.506.865/0001-50</v>
      </c>
      <c r="E304" s="4" t="str">
        <f aca="false">IF(ISNA(MATCH(A304,cnpj!$A:$A,0)),"Lotação não existe na aba cnpj",IF(B304="","Sem CNPJ na aba cnpj","OK"))</f>
        <v>OK</v>
      </c>
    </row>
    <row r="305" customFormat="false" ht="15" hidden="false" customHeight="false" outlineLevel="0" collapsed="false">
      <c r="A305" s="4" t="n">
        <f aca="false">sisgi!A305</f>
        <v>15920</v>
      </c>
      <c r="B305" s="5" t="str">
        <f aca="false">IFERROR(IF(INDEX(cnpj!$B:$B,MATCH(A305,cnpj!$A:$A,0))="","",INDEX(cnpj!$B:$B,MATCH(A305,cnpj!$A:$A,0))),"")</f>
        <v>03.225.303/0001-09</v>
      </c>
      <c r="C305" s="5" t="str">
        <f aca="false">IF(B305="","",RIGHT("00000000000000"&amp;SUBSTITUTE(SUBSTITUTE(SUBSTITUTE(SUBSTITUTE(B305,".",""),"/",""),"-","")," ",""),14))</f>
        <v>03225303000109</v>
      </c>
      <c r="D305" s="5" t="str">
        <f aca="false">IF(C305="","",MID(C305,1,2)&amp;"."&amp;MID(C305,3,3)&amp;"."&amp;MID(C305,6,3)&amp;"/"&amp;MID(C305,9,4)&amp;"-"&amp;MID(C305,13,2))</f>
        <v>03.225.303/0001-09</v>
      </c>
      <c r="E305" s="4" t="str">
        <f aca="false">IF(ISNA(MATCH(A305,cnpj!$A:$A,0)),"Lotação não existe na aba cnpj",IF(B305="","Sem CNPJ na aba cnpj","OK"))</f>
        <v>OK</v>
      </c>
    </row>
    <row r="306" customFormat="false" ht="15" hidden="false" customHeight="false" outlineLevel="0" collapsed="false">
      <c r="A306" s="4" t="n">
        <f aca="false">sisgi!A306</f>
        <v>15938</v>
      </c>
      <c r="B306" s="5" t="str">
        <f aca="false">IFERROR(IF(INDEX(cnpj!$B:$B,MATCH(A306,cnpj!$A:$A,0))="","",INDEX(cnpj!$B:$B,MATCH(A306,cnpj!$A:$A,0))),"")</f>
        <v>03.225.306/0001-34</v>
      </c>
      <c r="C306" s="5" t="str">
        <f aca="false">IF(B306="","",RIGHT("00000000000000"&amp;SUBSTITUTE(SUBSTITUTE(SUBSTITUTE(SUBSTITUTE(B306,".",""),"/",""),"-","")," ",""),14))</f>
        <v>03225306000134</v>
      </c>
      <c r="D306" s="5" t="str">
        <f aca="false">IF(C306="","",MID(C306,1,2)&amp;"."&amp;MID(C306,3,3)&amp;"."&amp;MID(C306,6,3)&amp;"/"&amp;MID(C306,9,4)&amp;"-"&amp;MID(C306,13,2))</f>
        <v>03.225.306/0001-34</v>
      </c>
      <c r="E306" s="4" t="str">
        <f aca="false">IF(ISNA(MATCH(A306,cnpj!$A:$A,0)),"Lotação não existe na aba cnpj",IF(B306="","Sem CNPJ na aba cnpj","OK"))</f>
        <v>OK</v>
      </c>
    </row>
    <row r="307" customFormat="false" ht="15" hidden="false" customHeight="false" outlineLevel="0" collapsed="false">
      <c r="A307" s="4" t="n">
        <f aca="false">sisgi!A307</f>
        <v>15954</v>
      </c>
      <c r="B307" s="5" t="str">
        <f aca="false">IFERROR(IF(INDEX(cnpj!$B:$B,MATCH(A307,cnpj!$A:$A,0))="","",INDEX(cnpj!$B:$B,MATCH(A307,cnpj!$A:$A,0))),"")</f>
        <v>01.962.228/0001-25</v>
      </c>
      <c r="C307" s="5" t="str">
        <f aca="false">IF(B307="","",RIGHT("00000000000000"&amp;SUBSTITUTE(SUBSTITUTE(SUBSTITUTE(SUBSTITUTE(B307,".",""),"/",""),"-","")," ",""),14))</f>
        <v>01962228000125</v>
      </c>
      <c r="D307" s="5" t="str">
        <f aca="false">IF(C307="","",MID(C307,1,2)&amp;"."&amp;MID(C307,3,3)&amp;"."&amp;MID(C307,6,3)&amp;"/"&amp;MID(C307,9,4)&amp;"-"&amp;MID(C307,13,2))</f>
        <v>01.962.228/0001-25</v>
      </c>
      <c r="E307" s="4" t="str">
        <f aca="false">IF(ISNA(MATCH(A307,cnpj!$A:$A,0)),"Lotação não existe na aba cnpj",IF(B307="","Sem CNPJ na aba cnpj","OK"))</f>
        <v>OK</v>
      </c>
    </row>
    <row r="308" customFormat="false" ht="15" hidden="false" customHeight="false" outlineLevel="0" collapsed="false">
      <c r="A308" s="4" t="n">
        <f aca="false">sisgi!A308</f>
        <v>15962</v>
      </c>
      <c r="B308" s="5" t="str">
        <f aca="false">IFERROR(IF(INDEX(cnpj!$B:$B,MATCH(A308,cnpj!$A:$A,0))="","",INDEX(cnpj!$B:$B,MATCH(A308,cnpj!$A:$A,0))),"")</f>
        <v>03.175.473/0001-18</v>
      </c>
      <c r="C308" s="5" t="str">
        <f aca="false">IF(B308="","",RIGHT("00000000000000"&amp;SUBSTITUTE(SUBSTITUTE(SUBSTITUTE(SUBSTITUTE(B308,".",""),"/",""),"-","")," ",""),14))</f>
        <v>03175473000118</v>
      </c>
      <c r="D308" s="5" t="str">
        <f aca="false">IF(C308="","",MID(C308,1,2)&amp;"."&amp;MID(C308,3,3)&amp;"."&amp;MID(C308,6,3)&amp;"/"&amp;MID(C308,9,4)&amp;"-"&amp;MID(C308,13,2))</f>
        <v>03.175.473/0001-18</v>
      </c>
      <c r="E308" s="4" t="str">
        <f aca="false">IF(ISNA(MATCH(A308,cnpj!$A:$A,0)),"Lotação não existe na aba cnpj",IF(B308="","Sem CNPJ na aba cnpj","OK"))</f>
        <v>OK</v>
      </c>
    </row>
    <row r="309" customFormat="false" ht="15" hidden="false" customHeight="false" outlineLevel="0" collapsed="false">
      <c r="A309" s="4" t="n">
        <f aca="false">sisgi!A309</f>
        <v>15970</v>
      </c>
      <c r="B309" s="5" t="str">
        <f aca="false">IFERROR(IF(INDEX(cnpj!$B:$B,MATCH(A309,cnpj!$A:$A,0))="","",INDEX(cnpj!$B:$B,MATCH(A309,cnpj!$A:$A,0))),"")</f>
        <v>02.002.125/0001-86</v>
      </c>
      <c r="C309" s="5" t="str">
        <f aca="false">IF(B309="","",RIGHT("00000000000000"&amp;SUBSTITUTE(SUBSTITUTE(SUBSTITUTE(SUBSTITUTE(B309,".",""),"/",""),"-","")," ",""),14))</f>
        <v>02002125000186</v>
      </c>
      <c r="D309" s="5" t="str">
        <f aca="false">IF(C309="","",MID(C309,1,2)&amp;"."&amp;MID(C309,3,3)&amp;"."&amp;MID(C309,6,3)&amp;"/"&amp;MID(C309,9,4)&amp;"-"&amp;MID(C309,13,2))</f>
        <v>02.002.125/0001-86</v>
      </c>
      <c r="E309" s="4" t="str">
        <f aca="false">IF(ISNA(MATCH(A309,cnpj!$A:$A,0)),"Lotação não existe na aba cnpj",IF(B309="","Sem CNPJ na aba cnpj","OK"))</f>
        <v>OK</v>
      </c>
    </row>
    <row r="310" customFormat="false" ht="15" hidden="false" customHeight="false" outlineLevel="0" collapsed="false">
      <c r="A310" s="4" t="n">
        <f aca="false">sisgi!A310</f>
        <v>15989</v>
      </c>
      <c r="B310" s="5" t="str">
        <f aca="false">IFERROR(IF(INDEX(cnpj!$B:$B,MATCH(A310,cnpj!$A:$A,0))="","",INDEX(cnpj!$B:$B,MATCH(A310,cnpj!$A:$A,0))),"")</f>
        <v>02.506.872/0001-51</v>
      </c>
      <c r="C310" s="5" t="str">
        <f aca="false">IF(B310="","",RIGHT("00000000000000"&amp;SUBSTITUTE(SUBSTITUTE(SUBSTITUTE(SUBSTITUTE(B310,".",""),"/",""),"-","")," ",""),14))</f>
        <v>02506872000151</v>
      </c>
      <c r="D310" s="5" t="str">
        <f aca="false">IF(C310="","",MID(C310,1,2)&amp;"."&amp;MID(C310,3,3)&amp;"."&amp;MID(C310,6,3)&amp;"/"&amp;MID(C310,9,4)&amp;"-"&amp;MID(C310,13,2))</f>
        <v>02.506.872/0001-51</v>
      </c>
      <c r="E310" s="4" t="str">
        <f aca="false">IF(ISNA(MATCH(A310,cnpj!$A:$A,0)),"Lotação não existe na aba cnpj",IF(B310="","Sem CNPJ na aba cnpj","OK"))</f>
        <v>OK</v>
      </c>
    </row>
    <row r="311" customFormat="false" ht="15" hidden="false" customHeight="false" outlineLevel="0" collapsed="false">
      <c r="A311" s="4" t="n">
        <f aca="false">sisgi!A311</f>
        <v>15997</v>
      </c>
      <c r="B311" s="5" t="str">
        <f aca="false">IFERROR(IF(INDEX(cnpj!$B:$B,MATCH(A311,cnpj!$A:$A,0))="","",INDEX(cnpj!$B:$B,MATCH(A311,cnpj!$A:$A,0))),"")</f>
        <v>02.776.067/0001-48</v>
      </c>
      <c r="C311" s="5" t="str">
        <f aca="false">IF(B311="","",RIGHT("00000000000000"&amp;SUBSTITUTE(SUBSTITUTE(SUBSTITUTE(SUBSTITUTE(B311,".",""),"/",""),"-","")," ",""),14))</f>
        <v>02776067000148</v>
      </c>
      <c r="D311" s="5" t="str">
        <f aca="false">IF(C311="","",MID(C311,1,2)&amp;"."&amp;MID(C311,3,3)&amp;"."&amp;MID(C311,6,3)&amp;"/"&amp;MID(C311,9,4)&amp;"-"&amp;MID(C311,13,2))</f>
        <v>02.776.067/0001-48</v>
      </c>
      <c r="E311" s="4" t="str">
        <f aca="false">IF(ISNA(MATCH(A311,cnpj!$A:$A,0)),"Lotação não existe na aba cnpj",IF(B311="","Sem CNPJ na aba cnpj","OK"))</f>
        <v>OK</v>
      </c>
    </row>
    <row r="312" customFormat="false" ht="15" hidden="false" customHeight="false" outlineLevel="0" collapsed="false">
      <c r="A312" s="4" t="n">
        <f aca="false">sisgi!A312</f>
        <v>16020</v>
      </c>
      <c r="B312" s="5" t="str">
        <f aca="false">IFERROR(IF(INDEX(cnpj!$B:$B,MATCH(A312,cnpj!$A:$A,0))="","",INDEX(cnpj!$B:$B,MATCH(A312,cnpj!$A:$A,0))),"")</f>
        <v>02.010.870/0001-77</v>
      </c>
      <c r="C312" s="5" t="str">
        <f aca="false">IF(B312="","",RIGHT("00000000000000"&amp;SUBSTITUTE(SUBSTITUTE(SUBSTITUTE(SUBSTITUTE(B312,".",""),"/",""),"-","")," ",""),14))</f>
        <v>02010870000177</v>
      </c>
      <c r="D312" s="5" t="str">
        <f aca="false">IF(C312="","",MID(C312,1,2)&amp;"."&amp;MID(C312,3,3)&amp;"."&amp;MID(C312,6,3)&amp;"/"&amp;MID(C312,9,4)&amp;"-"&amp;MID(C312,13,2))</f>
        <v>02.010.870/0001-77</v>
      </c>
      <c r="E312" s="4" t="str">
        <f aca="false">IF(ISNA(MATCH(A312,cnpj!$A:$A,0)),"Lotação não existe na aba cnpj",IF(B312="","Sem CNPJ na aba cnpj","OK"))</f>
        <v>OK</v>
      </c>
    </row>
    <row r="313" customFormat="false" ht="15" hidden="false" customHeight="false" outlineLevel="0" collapsed="false">
      <c r="A313" s="4" t="n">
        <f aca="false">sisgi!A313</f>
        <v>16047</v>
      </c>
      <c r="B313" s="5" t="str">
        <f aca="false">IFERROR(IF(INDEX(cnpj!$B:$B,MATCH(A313,cnpj!$A:$A,0))="","",INDEX(cnpj!$B:$B,MATCH(A313,cnpj!$A:$A,0))),"")</f>
        <v>01.984.739/0001-48</v>
      </c>
      <c r="C313" s="5" t="str">
        <f aca="false">IF(B313="","",RIGHT("00000000000000"&amp;SUBSTITUTE(SUBSTITUTE(SUBSTITUTE(SUBSTITUTE(B313,".",""),"/",""),"-","")," ",""),14))</f>
        <v>01984739000148</v>
      </c>
      <c r="D313" s="5" t="str">
        <f aca="false">IF(C313="","",MID(C313,1,2)&amp;"."&amp;MID(C313,3,3)&amp;"."&amp;MID(C313,6,3)&amp;"/"&amp;MID(C313,9,4)&amp;"-"&amp;MID(C313,13,2))</f>
        <v>01.984.739/0001-48</v>
      </c>
      <c r="E313" s="4" t="str">
        <f aca="false">IF(ISNA(MATCH(A313,cnpj!$A:$A,0)),"Lotação não existe na aba cnpj",IF(B313="","Sem CNPJ na aba cnpj","OK"))</f>
        <v>OK</v>
      </c>
    </row>
    <row r="314" customFormat="false" ht="15" hidden="false" customHeight="false" outlineLevel="0" collapsed="false">
      <c r="A314" s="4" t="n">
        <f aca="false">sisgi!A314</f>
        <v>16055</v>
      </c>
      <c r="B314" s="5" t="str">
        <f aca="false">IFERROR(IF(INDEX(cnpj!$B:$B,MATCH(A314,cnpj!$A:$A,0))="","",INDEX(cnpj!$B:$B,MATCH(A314,cnpj!$A:$A,0))),"")</f>
        <v>01.523.050/0001-16</v>
      </c>
      <c r="C314" s="5" t="str">
        <f aca="false">IF(B314="","",RIGHT("00000000000000"&amp;SUBSTITUTE(SUBSTITUTE(SUBSTITUTE(SUBSTITUTE(B314,".",""),"/",""),"-","")," ",""),14))</f>
        <v>01523050000116</v>
      </c>
      <c r="D314" s="5" t="str">
        <f aca="false">IF(C314="","",MID(C314,1,2)&amp;"."&amp;MID(C314,3,3)&amp;"."&amp;MID(C314,6,3)&amp;"/"&amp;MID(C314,9,4)&amp;"-"&amp;MID(C314,13,2))</f>
        <v>01.523.050/0001-16</v>
      </c>
      <c r="E314" s="4" t="str">
        <f aca="false">IF(ISNA(MATCH(A314,cnpj!$A:$A,0)),"Lotação não existe na aba cnpj",IF(B314="","Sem CNPJ na aba cnpj","OK"))</f>
        <v>OK</v>
      </c>
    </row>
    <row r="315" customFormat="false" ht="15" hidden="false" customHeight="false" outlineLevel="0" collapsed="false">
      <c r="A315" s="4" t="n">
        <f aca="false">sisgi!A315</f>
        <v>16071</v>
      </c>
      <c r="B315" s="5" t="str">
        <f aca="false">IFERROR(IF(INDEX(cnpj!$B:$B,MATCH(A315,cnpj!$A:$A,0))="","",INDEX(cnpj!$B:$B,MATCH(A315,cnpj!$A:$A,0))),"")</f>
        <v>07.026.390/0001-18</v>
      </c>
      <c r="C315" s="5" t="str">
        <f aca="false">IF(B315="","",RIGHT("00000000000000"&amp;SUBSTITUTE(SUBSTITUTE(SUBSTITUTE(SUBSTITUTE(B315,".",""),"/",""),"-","")," ",""),14))</f>
        <v>07026390000118</v>
      </c>
      <c r="D315" s="5" t="str">
        <f aca="false">IF(C315="","",MID(C315,1,2)&amp;"."&amp;MID(C315,3,3)&amp;"."&amp;MID(C315,6,3)&amp;"/"&amp;MID(C315,9,4)&amp;"-"&amp;MID(C315,13,2))</f>
        <v>07.026.390/0001-18</v>
      </c>
      <c r="E315" s="4" t="str">
        <f aca="false">IF(ISNA(MATCH(A315,cnpj!$A:$A,0)),"Lotação não existe na aba cnpj",IF(B315="","Sem CNPJ na aba cnpj","OK"))</f>
        <v>OK</v>
      </c>
    </row>
    <row r="316" customFormat="false" ht="15" hidden="false" customHeight="false" outlineLevel="0" collapsed="false">
      <c r="A316" s="4" t="n">
        <f aca="false">sisgi!A316</f>
        <v>16110</v>
      </c>
      <c r="B316" s="5" t="str">
        <f aca="false">IFERROR(IF(INDEX(cnpj!$B:$B,MATCH(A316,cnpj!$A:$A,0))="","",INDEX(cnpj!$B:$B,MATCH(A316,cnpj!$A:$A,0))),"")</f>
        <v>06.066.416/0001-99</v>
      </c>
      <c r="C316" s="5" t="str">
        <f aca="false">IF(B316="","",RIGHT("00000000000000"&amp;SUBSTITUTE(SUBSTITUTE(SUBSTITUTE(SUBSTITUTE(B316,".",""),"/",""),"-","")," ",""),14))</f>
        <v>06066416000199</v>
      </c>
      <c r="D316" s="5" t="str">
        <f aca="false">IF(C316="","",MID(C316,1,2)&amp;"."&amp;MID(C316,3,3)&amp;"."&amp;MID(C316,6,3)&amp;"/"&amp;MID(C316,9,4)&amp;"-"&amp;MID(C316,13,2))</f>
        <v>06.066.416/0001-99</v>
      </c>
      <c r="E316" s="4" t="str">
        <f aca="false">IF(ISNA(MATCH(A316,cnpj!$A:$A,0)),"Lotação não existe na aba cnpj",IF(B316="","Sem CNPJ na aba cnpj","OK"))</f>
        <v>OK</v>
      </c>
    </row>
    <row r="317" customFormat="false" ht="15" hidden="false" customHeight="false" outlineLevel="0" collapsed="false">
      <c r="A317" s="4" t="n">
        <f aca="false">sisgi!A317</f>
        <v>16136</v>
      </c>
      <c r="B317" s="5" t="str">
        <f aca="false">IFERROR(IF(INDEX(cnpj!$B:$B,MATCH(A317,cnpj!$A:$A,0))="","",INDEX(cnpj!$B:$B,MATCH(A317,cnpj!$A:$A,0))),"")</f>
        <v>01.565.870/0001-70</v>
      </c>
      <c r="C317" s="5" t="str">
        <f aca="false">IF(B317="","",RIGHT("00000000000000"&amp;SUBSTITUTE(SUBSTITUTE(SUBSTITUTE(SUBSTITUTE(B317,".",""),"/",""),"-","")," ",""),14))</f>
        <v>01565870000170</v>
      </c>
      <c r="D317" s="5" t="str">
        <f aca="false">IF(C317="","",MID(C317,1,2)&amp;"."&amp;MID(C317,3,3)&amp;"."&amp;MID(C317,6,3)&amp;"/"&amp;MID(C317,9,4)&amp;"-"&amp;MID(C317,13,2))</f>
        <v>01.565.870/0001-70</v>
      </c>
      <c r="E317" s="4" t="str">
        <f aca="false">IF(ISNA(MATCH(A317,cnpj!$A:$A,0)),"Lotação não existe na aba cnpj",IF(B317="","Sem CNPJ na aba cnpj","OK"))</f>
        <v>OK</v>
      </c>
    </row>
    <row r="318" customFormat="false" ht="15" hidden="false" customHeight="false" outlineLevel="0" collapsed="false">
      <c r="A318" s="4" t="n">
        <f aca="false">sisgi!A318</f>
        <v>16144</v>
      </c>
      <c r="B318" s="5" t="str">
        <f aca="false">IFERROR(IF(INDEX(cnpj!$B:$B,MATCH(A318,cnpj!$A:$A,0))="","",INDEX(cnpj!$B:$B,MATCH(A318,cnpj!$A:$A,0))),"")</f>
        <v>01.549.871/0001-21</v>
      </c>
      <c r="C318" s="5" t="str">
        <f aca="false">IF(B318="","",RIGHT("00000000000000"&amp;SUBSTITUTE(SUBSTITUTE(SUBSTITUTE(SUBSTITUTE(B318,".",""),"/",""),"-","")," ",""),14))</f>
        <v>01549871000121</v>
      </c>
      <c r="D318" s="5" t="str">
        <f aca="false">IF(C318="","",MID(C318,1,2)&amp;"."&amp;MID(C318,3,3)&amp;"."&amp;MID(C318,6,3)&amp;"/"&amp;MID(C318,9,4)&amp;"-"&amp;MID(C318,13,2))</f>
        <v>01.549.871/0001-21</v>
      </c>
      <c r="E318" s="4" t="str">
        <f aca="false">IF(ISNA(MATCH(A318,cnpj!$A:$A,0)),"Lotação não existe na aba cnpj",IF(B318="","Sem CNPJ na aba cnpj","OK"))</f>
        <v>OK</v>
      </c>
    </row>
    <row r="319" customFormat="false" ht="15" hidden="false" customHeight="false" outlineLevel="0" collapsed="false">
      <c r="A319" s="4" t="n">
        <f aca="false">sisgi!A319</f>
        <v>16152</v>
      </c>
      <c r="B319" s="5" t="str">
        <f aca="false">IFERROR(IF(INDEX(cnpj!$B:$B,MATCH(A319,cnpj!$A:$A,0))="","",INDEX(cnpj!$B:$B,MATCH(A319,cnpj!$A:$A,0))),"")</f>
        <v>01.549.869/0001-52</v>
      </c>
      <c r="C319" s="5" t="str">
        <f aca="false">IF(B319="","",RIGHT("00000000000000"&amp;SUBSTITUTE(SUBSTITUTE(SUBSTITUTE(SUBSTITUTE(B319,".",""),"/",""),"-","")," ",""),14))</f>
        <v>01549869000152</v>
      </c>
      <c r="D319" s="5" t="str">
        <f aca="false">IF(C319="","",MID(C319,1,2)&amp;"."&amp;MID(C319,3,3)&amp;"."&amp;MID(C319,6,3)&amp;"/"&amp;MID(C319,9,4)&amp;"-"&amp;MID(C319,13,2))</f>
        <v>01.549.869/0001-52</v>
      </c>
      <c r="E319" s="4" t="str">
        <f aca="false">IF(ISNA(MATCH(A319,cnpj!$A:$A,0)),"Lotação não existe na aba cnpj",IF(B319="","Sem CNPJ na aba cnpj","OK"))</f>
        <v>OK</v>
      </c>
    </row>
    <row r="320" customFormat="false" ht="15" hidden="false" customHeight="false" outlineLevel="0" collapsed="false">
      <c r="A320" s="4" t="n">
        <f aca="false">sisgi!A320</f>
        <v>16187</v>
      </c>
      <c r="B320" s="5" t="str">
        <f aca="false">IFERROR(IF(INDEX(cnpj!$B:$B,MATCH(A320,cnpj!$A:$A,0))="","",INDEX(cnpj!$B:$B,MATCH(A320,cnpj!$A:$A,0))),"")</f>
        <v>02.027.853/0001-42</v>
      </c>
      <c r="C320" s="5" t="str">
        <f aca="false">IF(B320="","",RIGHT("00000000000000"&amp;SUBSTITUTE(SUBSTITUTE(SUBSTITUTE(SUBSTITUTE(B320,".",""),"/",""),"-","")," ",""),14))</f>
        <v>02027853000142</v>
      </c>
      <c r="D320" s="5" t="str">
        <f aca="false">IF(C320="","",MID(C320,1,2)&amp;"."&amp;MID(C320,3,3)&amp;"."&amp;MID(C320,6,3)&amp;"/"&amp;MID(C320,9,4)&amp;"-"&amp;MID(C320,13,2))</f>
        <v>02.027.853/0001-42</v>
      </c>
      <c r="E320" s="4" t="str">
        <f aca="false">IF(ISNA(MATCH(A320,cnpj!$A:$A,0)),"Lotação não existe na aba cnpj",IF(B320="","Sem CNPJ na aba cnpj","OK"))</f>
        <v>OK</v>
      </c>
    </row>
    <row r="321" customFormat="false" ht="15" hidden="false" customHeight="false" outlineLevel="0" collapsed="false">
      <c r="A321" s="4" t="n">
        <f aca="false">sisgi!A321</f>
        <v>16195</v>
      </c>
      <c r="B321" s="5" t="str">
        <f aca="false">IFERROR(IF(INDEX(cnpj!$B:$B,MATCH(A321,cnpj!$A:$A,0))="","",INDEX(cnpj!$B:$B,MATCH(A321,cnpj!$A:$A,0))),"")</f>
        <v>01.717.753/0001-85</v>
      </c>
      <c r="C321" s="5" t="str">
        <f aca="false">IF(B321="","",RIGHT("00000000000000"&amp;SUBSTITUTE(SUBSTITUTE(SUBSTITUTE(SUBSTITUTE(B321,".",""),"/",""),"-","")," ",""),14))</f>
        <v>01717753000185</v>
      </c>
      <c r="D321" s="5" t="str">
        <f aca="false">IF(C321="","",MID(C321,1,2)&amp;"."&amp;MID(C321,3,3)&amp;"."&amp;MID(C321,6,3)&amp;"/"&amp;MID(C321,9,4)&amp;"-"&amp;MID(C321,13,2))</f>
        <v>01.717.753/0001-85</v>
      </c>
      <c r="E321" s="4" t="str">
        <f aca="false">IF(ISNA(MATCH(A321,cnpj!$A:$A,0)),"Lotação não existe na aba cnpj",IF(B321="","Sem CNPJ na aba cnpj","OK"))</f>
        <v>OK</v>
      </c>
    </row>
    <row r="322" customFormat="false" ht="15" hidden="false" customHeight="false" outlineLevel="0" collapsed="false">
      <c r="A322" s="4" t="n">
        <f aca="false">sisgi!A322</f>
        <v>16209</v>
      </c>
      <c r="B322" s="5" t="str">
        <f aca="false">IFERROR(IF(INDEX(cnpj!$B:$B,MATCH(A322,cnpj!$A:$A,0))="","",INDEX(cnpj!$B:$B,MATCH(A322,cnpj!$A:$A,0))),"")</f>
        <v>02.021.535/0001-74</v>
      </c>
      <c r="C322" s="5" t="str">
        <f aca="false">IF(B322="","",RIGHT("00000000000000"&amp;SUBSTITUTE(SUBSTITUTE(SUBSTITUTE(SUBSTITUTE(B322,".",""),"/",""),"-","")," ",""),14))</f>
        <v>02021535000174</v>
      </c>
      <c r="D322" s="5" t="str">
        <f aca="false">IF(C322="","",MID(C322,1,2)&amp;"."&amp;MID(C322,3,3)&amp;"."&amp;MID(C322,6,3)&amp;"/"&amp;MID(C322,9,4)&amp;"-"&amp;MID(C322,13,2))</f>
        <v>02.021.535/0001-74</v>
      </c>
      <c r="E322" s="4" t="str">
        <f aca="false">IF(ISNA(MATCH(A322,cnpj!$A:$A,0)),"Lotação não existe na aba cnpj",IF(B322="","Sem CNPJ na aba cnpj","OK"))</f>
        <v>OK</v>
      </c>
    </row>
    <row r="323" customFormat="false" ht="15" hidden="false" customHeight="false" outlineLevel="0" collapsed="false">
      <c r="A323" s="4" t="n">
        <f aca="false">sisgi!A323</f>
        <v>16233</v>
      </c>
      <c r="B323" s="5" t="str">
        <f aca="false">IFERROR(IF(INDEX(cnpj!$B:$B,MATCH(A323,cnpj!$A:$A,0))="","",INDEX(cnpj!$B:$B,MATCH(A323,cnpj!$A:$A,0))),"")</f>
        <v>02.021.536/0001-19</v>
      </c>
      <c r="C323" s="5" t="str">
        <f aca="false">IF(B323="","",RIGHT("00000000000000"&amp;SUBSTITUTE(SUBSTITUTE(SUBSTITUTE(SUBSTITUTE(B323,".",""),"/",""),"-","")," ",""),14))</f>
        <v>02021536000119</v>
      </c>
      <c r="D323" s="5" t="str">
        <f aca="false">IF(C323="","",MID(C323,1,2)&amp;"."&amp;MID(C323,3,3)&amp;"."&amp;MID(C323,6,3)&amp;"/"&amp;MID(C323,9,4)&amp;"-"&amp;MID(C323,13,2))</f>
        <v>02.021.536/0001-19</v>
      </c>
      <c r="E323" s="4" t="str">
        <f aca="false">IF(ISNA(MATCH(A323,cnpj!$A:$A,0)),"Lotação não existe na aba cnpj",IF(B323="","Sem CNPJ na aba cnpj","OK"))</f>
        <v>OK</v>
      </c>
    </row>
    <row r="324" customFormat="false" ht="15" hidden="false" customHeight="false" outlineLevel="0" collapsed="false">
      <c r="A324" s="4" t="n">
        <f aca="false">sisgi!A324</f>
        <v>16241</v>
      </c>
      <c r="B324" s="5" t="str">
        <f aca="false">IFERROR(IF(INDEX(cnpj!$B:$B,MATCH(A324,cnpj!$A:$A,0))="","",INDEX(cnpj!$B:$B,MATCH(A324,cnpj!$A:$A,0))),"")</f>
        <v>02.027.856/0001-86</v>
      </c>
      <c r="C324" s="5" t="str">
        <f aca="false">IF(B324="","",RIGHT("00000000000000"&amp;SUBSTITUTE(SUBSTITUTE(SUBSTITUTE(SUBSTITUTE(B324,".",""),"/",""),"-","")," ",""),14))</f>
        <v>02027856000186</v>
      </c>
      <c r="D324" s="5" t="str">
        <f aca="false">IF(C324="","",MID(C324,1,2)&amp;"."&amp;MID(C324,3,3)&amp;"."&amp;MID(C324,6,3)&amp;"/"&amp;MID(C324,9,4)&amp;"-"&amp;MID(C324,13,2))</f>
        <v>02.027.856/0001-86</v>
      </c>
      <c r="E324" s="4" t="str">
        <f aca="false">IF(ISNA(MATCH(A324,cnpj!$A:$A,0)),"Lotação não existe na aba cnpj",IF(B324="","Sem CNPJ na aba cnpj","OK"))</f>
        <v>OK</v>
      </c>
    </row>
    <row r="325" customFormat="false" ht="15" hidden="false" customHeight="false" outlineLevel="0" collapsed="false">
      <c r="A325" s="4" t="n">
        <f aca="false">sisgi!A325</f>
        <v>16284</v>
      </c>
      <c r="B325" s="5" t="str">
        <f aca="false">IFERROR(IF(INDEX(cnpj!$B:$B,MATCH(A325,cnpj!$A:$A,0))="","",INDEX(cnpj!$B:$B,MATCH(A325,cnpj!$A:$A,0))),"")</f>
        <v>02.547.466/0001-37</v>
      </c>
      <c r="C325" s="5" t="str">
        <f aca="false">IF(B325="","",RIGHT("00000000000000"&amp;SUBSTITUTE(SUBSTITUTE(SUBSTITUTE(SUBSTITUTE(B325,".",""),"/",""),"-","")," ",""),14))</f>
        <v>02547466000137</v>
      </c>
      <c r="D325" s="5" t="str">
        <f aca="false">IF(C325="","",MID(C325,1,2)&amp;"."&amp;MID(C325,3,3)&amp;"."&amp;MID(C325,6,3)&amp;"/"&amp;MID(C325,9,4)&amp;"-"&amp;MID(C325,13,2))</f>
        <v>02.547.466/0001-37</v>
      </c>
      <c r="E325" s="4" t="str">
        <f aca="false">IF(ISNA(MATCH(A325,cnpj!$A:$A,0)),"Lotação não existe na aba cnpj",IF(B325="","Sem CNPJ na aba cnpj","OK"))</f>
        <v>OK</v>
      </c>
    </row>
    <row r="326" customFormat="false" ht="15" hidden="false" customHeight="false" outlineLevel="0" collapsed="false">
      <c r="A326" s="4" t="n">
        <f aca="false">sisgi!A326</f>
        <v>16314</v>
      </c>
      <c r="B326" s="5" t="str">
        <f aca="false">IFERROR(IF(INDEX(cnpj!$B:$B,MATCH(A326,cnpj!$A:$A,0))="","",INDEX(cnpj!$B:$B,MATCH(A326,cnpj!$A:$A,0))),"")</f>
        <v>01.921.632/0001-50</v>
      </c>
      <c r="C326" s="5" t="str">
        <f aca="false">IF(B326="","",RIGHT("00000000000000"&amp;SUBSTITUTE(SUBSTITUTE(SUBSTITUTE(SUBSTITUTE(B326,".",""),"/",""),"-","")," ",""),14))</f>
        <v>01921632000150</v>
      </c>
      <c r="D326" s="5" t="str">
        <f aca="false">IF(C326="","",MID(C326,1,2)&amp;"."&amp;MID(C326,3,3)&amp;"."&amp;MID(C326,6,3)&amp;"/"&amp;MID(C326,9,4)&amp;"-"&amp;MID(C326,13,2))</f>
        <v>01.921.632/0001-50</v>
      </c>
      <c r="E326" s="4" t="str">
        <f aca="false">IF(ISNA(MATCH(A326,cnpj!$A:$A,0)),"Lotação não existe na aba cnpj",IF(B326="","Sem CNPJ na aba cnpj","OK"))</f>
        <v>OK</v>
      </c>
    </row>
    <row r="327" customFormat="false" ht="15" hidden="false" customHeight="false" outlineLevel="0" collapsed="false">
      <c r="A327" s="4" t="n">
        <f aca="false">sisgi!A327</f>
        <v>16322</v>
      </c>
      <c r="B327" s="5" t="str">
        <f aca="false">IFERROR(IF(INDEX(cnpj!$B:$B,MATCH(A327,cnpj!$A:$A,0))="","",INDEX(cnpj!$B:$B,MATCH(A327,cnpj!$A:$A,0))),"")</f>
        <v>01.956.022/0001-92</v>
      </c>
      <c r="C327" s="5" t="str">
        <f aca="false">IF(B327="","",RIGHT("00000000000000"&amp;SUBSTITUTE(SUBSTITUTE(SUBSTITUTE(SUBSTITUTE(B327,".",""),"/",""),"-","")," ",""),14))</f>
        <v>01956022000192</v>
      </c>
      <c r="D327" s="5" t="str">
        <f aca="false">IF(C327="","",MID(C327,1,2)&amp;"."&amp;MID(C327,3,3)&amp;"."&amp;MID(C327,6,3)&amp;"/"&amp;MID(C327,9,4)&amp;"-"&amp;MID(C327,13,2))</f>
        <v>01.956.022/0001-92</v>
      </c>
      <c r="E327" s="4" t="str">
        <f aca="false">IF(ISNA(MATCH(A327,cnpj!$A:$A,0)),"Lotação não existe na aba cnpj",IF(B327="","Sem CNPJ na aba cnpj","OK"))</f>
        <v>OK</v>
      </c>
    </row>
    <row r="328" customFormat="false" ht="15" hidden="false" customHeight="false" outlineLevel="0" collapsed="false">
      <c r="A328" s="4" t="n">
        <f aca="false">sisgi!A328</f>
        <v>16349</v>
      </c>
      <c r="B328" s="5" t="str">
        <f aca="false">IFERROR(IF(INDEX(cnpj!$B:$B,MATCH(A328,cnpj!$A:$A,0))="","",INDEX(cnpj!$B:$B,MATCH(A328,cnpj!$A:$A,0))),"")</f>
        <v>01.354.483/0001-95</v>
      </c>
      <c r="C328" s="5" t="str">
        <f aca="false">IF(B328="","",RIGHT("00000000000000"&amp;SUBSTITUTE(SUBSTITUTE(SUBSTITUTE(SUBSTITUTE(B328,".",""),"/",""),"-","")," ",""),14))</f>
        <v>01354483000195</v>
      </c>
      <c r="D328" s="5" t="str">
        <f aca="false">IF(C328="","",MID(C328,1,2)&amp;"."&amp;MID(C328,3,3)&amp;"."&amp;MID(C328,6,3)&amp;"/"&amp;MID(C328,9,4)&amp;"-"&amp;MID(C328,13,2))</f>
        <v>01.354.483/0001-95</v>
      </c>
      <c r="E328" s="4" t="str">
        <f aca="false">IF(ISNA(MATCH(A328,cnpj!$A:$A,0)),"Lotação não existe na aba cnpj",IF(B328="","Sem CNPJ na aba cnpj","OK"))</f>
        <v>OK</v>
      </c>
    </row>
    <row r="329" customFormat="false" ht="15" hidden="false" customHeight="false" outlineLevel="0" collapsed="false">
      <c r="A329" s="4" t="n">
        <f aca="false">sisgi!A329</f>
        <v>16357</v>
      </c>
      <c r="B329" s="5" t="str">
        <f aca="false">IFERROR(IF(INDEX(cnpj!$B:$B,MATCH(A329,cnpj!$A:$A,0))="","",INDEX(cnpj!$B:$B,MATCH(A329,cnpj!$A:$A,0))),"")</f>
        <v>01.453.443/0001-09</v>
      </c>
      <c r="C329" s="5" t="str">
        <f aca="false">IF(B329="","",RIGHT("00000000000000"&amp;SUBSTITUTE(SUBSTITUTE(SUBSTITUTE(SUBSTITUTE(B329,".",""),"/",""),"-","")," ",""),14))</f>
        <v>01453443000109</v>
      </c>
      <c r="D329" s="5" t="str">
        <f aca="false">IF(C329="","",MID(C329,1,2)&amp;"."&amp;MID(C329,3,3)&amp;"."&amp;MID(C329,6,3)&amp;"/"&amp;MID(C329,9,4)&amp;"-"&amp;MID(C329,13,2))</f>
        <v>01.453.443/0001-09</v>
      </c>
      <c r="E329" s="4" t="str">
        <f aca="false">IF(ISNA(MATCH(A329,cnpj!$A:$A,0)),"Lotação não existe na aba cnpj",IF(B329="","Sem CNPJ na aba cnpj","OK"))</f>
        <v>OK</v>
      </c>
    </row>
    <row r="330" customFormat="false" ht="15" hidden="false" customHeight="false" outlineLevel="0" collapsed="false">
      <c r="A330" s="4" t="n">
        <f aca="false">sisgi!A330</f>
        <v>16365</v>
      </c>
      <c r="B330" s="5" t="str">
        <f aca="false">IFERROR(IF(INDEX(cnpj!$B:$B,MATCH(A330,cnpj!$A:$A,0))="","",INDEX(cnpj!$B:$B,MATCH(A330,cnpj!$A:$A,0))),"")</f>
        <v>01.418.780/0001-57</v>
      </c>
      <c r="C330" s="5" t="str">
        <f aca="false">IF(B330="","",RIGHT("00000000000000"&amp;SUBSTITUTE(SUBSTITUTE(SUBSTITUTE(SUBSTITUTE(B330,".",""),"/",""),"-","")," ",""),14))</f>
        <v>01418780000157</v>
      </c>
      <c r="D330" s="5" t="str">
        <f aca="false">IF(C330="","",MID(C330,1,2)&amp;"."&amp;MID(C330,3,3)&amp;"."&amp;MID(C330,6,3)&amp;"/"&amp;MID(C330,9,4)&amp;"-"&amp;MID(C330,13,2))</f>
        <v>01.418.780/0001-57</v>
      </c>
      <c r="E330" s="4" t="str">
        <f aca="false">IF(ISNA(MATCH(A330,cnpj!$A:$A,0)),"Lotação não existe na aba cnpj",IF(B330="","Sem CNPJ na aba cnpj","OK"))</f>
        <v>OK</v>
      </c>
    </row>
    <row r="331" customFormat="false" ht="15" hidden="false" customHeight="false" outlineLevel="0" collapsed="false">
      <c r="A331" s="4" t="n">
        <f aca="false">sisgi!A331</f>
        <v>16381</v>
      </c>
      <c r="B331" s="5" t="str">
        <f aca="false">IFERROR(IF(INDEX(cnpj!$B:$B,MATCH(A331,cnpj!$A:$A,0))="","",INDEX(cnpj!$B:$B,MATCH(A331,cnpj!$A:$A,0))),"")</f>
        <v>01.383.170/0001-65</v>
      </c>
      <c r="C331" s="5" t="str">
        <f aca="false">IF(B331="","",RIGHT("00000000000000"&amp;SUBSTITUTE(SUBSTITUTE(SUBSTITUTE(SUBSTITUTE(B331,".",""),"/",""),"-","")," ",""),14))</f>
        <v>01383170000165</v>
      </c>
      <c r="D331" s="5" t="str">
        <f aca="false">IF(C331="","",MID(C331,1,2)&amp;"."&amp;MID(C331,3,3)&amp;"."&amp;MID(C331,6,3)&amp;"/"&amp;MID(C331,9,4)&amp;"-"&amp;MID(C331,13,2))</f>
        <v>01.383.170/0001-65</v>
      </c>
      <c r="E331" s="4" t="str">
        <f aca="false">IF(ISNA(MATCH(A331,cnpj!$A:$A,0)),"Lotação não existe na aba cnpj",IF(B331="","Sem CNPJ na aba cnpj","OK"))</f>
        <v>OK</v>
      </c>
    </row>
    <row r="332" customFormat="false" ht="15" hidden="false" customHeight="false" outlineLevel="0" collapsed="false">
      <c r="A332" s="4" t="n">
        <f aca="false">sisgi!A332</f>
        <v>16403</v>
      </c>
      <c r="B332" s="5" t="str">
        <f aca="false">IFERROR(IF(INDEX(cnpj!$B:$B,MATCH(A332,cnpj!$A:$A,0))="","",INDEX(cnpj!$B:$B,MATCH(A332,cnpj!$A:$A,0))),"")</f>
        <v>01.518.384/0001-00</v>
      </c>
      <c r="C332" s="5" t="str">
        <f aca="false">IF(B332="","",RIGHT("00000000000000"&amp;SUBSTITUTE(SUBSTITUTE(SUBSTITUTE(SUBSTITUTE(B332,".",""),"/",""),"-","")," ",""),14))</f>
        <v>01518384000100</v>
      </c>
      <c r="D332" s="5" t="str">
        <f aca="false">IF(C332="","",MID(C332,1,2)&amp;"."&amp;MID(C332,3,3)&amp;"."&amp;MID(C332,6,3)&amp;"/"&amp;MID(C332,9,4)&amp;"-"&amp;MID(C332,13,2))</f>
        <v>01.518.384/0001-00</v>
      </c>
      <c r="E332" s="4" t="str">
        <f aca="false">IF(ISNA(MATCH(A332,cnpj!$A:$A,0)),"Lotação não existe na aba cnpj",IF(B332="","Sem CNPJ na aba cnpj","OK"))</f>
        <v>OK</v>
      </c>
    </row>
    <row r="333" customFormat="false" ht="15" hidden="false" customHeight="false" outlineLevel="0" collapsed="false">
      <c r="A333" s="4" t="n">
        <f aca="false">sisgi!A333</f>
        <v>16411</v>
      </c>
      <c r="B333" s="5" t="str">
        <f aca="false">IFERROR(IF(INDEX(cnpj!$B:$B,MATCH(A333,cnpj!$A:$A,0))="","",INDEX(cnpj!$B:$B,MATCH(A333,cnpj!$A:$A,0))),"")</f>
        <v>01.398.463/0001-16</v>
      </c>
      <c r="C333" s="5" t="str">
        <f aca="false">IF(B333="","",RIGHT("00000000000000"&amp;SUBSTITUTE(SUBSTITUTE(SUBSTITUTE(SUBSTITUTE(B333,".",""),"/",""),"-","")," ",""),14))</f>
        <v>01398463000116</v>
      </c>
      <c r="D333" s="5" t="str">
        <f aca="false">IF(C333="","",MID(C333,1,2)&amp;"."&amp;MID(C333,3,3)&amp;"."&amp;MID(C333,6,3)&amp;"/"&amp;MID(C333,9,4)&amp;"-"&amp;MID(C333,13,2))</f>
        <v>01.398.463/0001-16</v>
      </c>
      <c r="E333" s="4" t="str">
        <f aca="false">IF(ISNA(MATCH(A333,cnpj!$A:$A,0)),"Lotação não existe na aba cnpj",IF(B333="","Sem CNPJ na aba cnpj","OK"))</f>
        <v>OK</v>
      </c>
    </row>
    <row r="334" customFormat="false" ht="15" hidden="false" customHeight="false" outlineLevel="0" collapsed="false">
      <c r="A334" s="4" t="n">
        <f aca="false">sisgi!A334</f>
        <v>16438</v>
      </c>
      <c r="B334" s="5" t="str">
        <f aca="false">IFERROR(IF(INDEX(cnpj!$B:$B,MATCH(A334,cnpj!$A:$A,0))="","",INDEX(cnpj!$B:$B,MATCH(A334,cnpj!$A:$A,0))),"")</f>
        <v>01.352.216/0001-89</v>
      </c>
      <c r="C334" s="5" t="str">
        <f aca="false">IF(B334="","",RIGHT("00000000000000"&amp;SUBSTITUTE(SUBSTITUTE(SUBSTITUTE(SUBSTITUTE(B334,".",""),"/",""),"-","")," ",""),14))</f>
        <v>01352216000189</v>
      </c>
      <c r="D334" s="5" t="str">
        <f aca="false">IF(C334="","",MID(C334,1,2)&amp;"."&amp;MID(C334,3,3)&amp;"."&amp;MID(C334,6,3)&amp;"/"&amp;MID(C334,9,4)&amp;"-"&amp;MID(C334,13,2))</f>
        <v>01.352.216/0001-89</v>
      </c>
      <c r="E334" s="4" t="str">
        <f aca="false">IF(ISNA(MATCH(A334,cnpj!$A:$A,0)),"Lotação não existe na aba cnpj",IF(B334="","Sem CNPJ na aba cnpj","OK"))</f>
        <v>OK</v>
      </c>
    </row>
    <row r="335" customFormat="false" ht="15" hidden="false" customHeight="false" outlineLevel="0" collapsed="false">
      <c r="A335" s="4" t="n">
        <f aca="false">sisgi!A335</f>
        <v>16454</v>
      </c>
      <c r="B335" s="5" t="str">
        <f aca="false">IFERROR(IF(INDEX(cnpj!$B:$B,MATCH(A335,cnpj!$A:$A,0))="","",INDEX(cnpj!$B:$B,MATCH(A335,cnpj!$A:$A,0))),"")</f>
        <v>11.180.466/0001-32</v>
      </c>
      <c r="C335" s="5" t="str">
        <f aca="false">IF(B335="","",RIGHT("00000000000000"&amp;SUBSTITUTE(SUBSTITUTE(SUBSTITUTE(SUBSTITUTE(B335,".",""),"/",""),"-","")," ",""),14))</f>
        <v>11180466000132</v>
      </c>
      <c r="D335" s="5" t="str">
        <f aca="false">IF(C335="","",MID(C335,1,2)&amp;"."&amp;MID(C335,3,3)&amp;"."&amp;MID(C335,6,3)&amp;"/"&amp;MID(C335,9,4)&amp;"-"&amp;MID(C335,13,2))</f>
        <v>11.180.466/0001-32</v>
      </c>
      <c r="E335" s="4" t="str">
        <f aca="false">IF(ISNA(MATCH(A335,cnpj!$A:$A,0)),"Lotação não existe na aba cnpj",IF(B335="","Sem CNPJ na aba cnpj","OK"))</f>
        <v>OK</v>
      </c>
    </row>
    <row r="336" customFormat="false" ht="15" hidden="false" customHeight="false" outlineLevel="0" collapsed="false">
      <c r="A336" s="4" t="n">
        <f aca="false">sisgi!A336</f>
        <v>16470</v>
      </c>
      <c r="B336" s="5" t="str">
        <f aca="false">IFERROR(IF(INDEX(cnpj!$B:$B,MATCH(A336,cnpj!$A:$A,0))="","",INDEX(cnpj!$B:$B,MATCH(A336,cnpj!$A:$A,0))),"")</f>
        <v>01.445.727/0001-45</v>
      </c>
      <c r="C336" s="5" t="str">
        <f aca="false">IF(B336="","",RIGHT("00000000000000"&amp;SUBSTITUTE(SUBSTITUTE(SUBSTITUTE(SUBSTITUTE(B336,".",""),"/",""),"-","")," ",""),14))</f>
        <v>01445727000145</v>
      </c>
      <c r="D336" s="5" t="str">
        <f aca="false">IF(C336="","",MID(C336,1,2)&amp;"."&amp;MID(C336,3,3)&amp;"."&amp;MID(C336,6,3)&amp;"/"&amp;MID(C336,9,4)&amp;"-"&amp;MID(C336,13,2))</f>
        <v>01.445.727/0001-45</v>
      </c>
      <c r="E336" s="4" t="str">
        <f aca="false">IF(ISNA(MATCH(A336,cnpj!$A:$A,0)),"Lotação não existe na aba cnpj",IF(B336="","Sem CNPJ na aba cnpj","OK"))</f>
        <v>OK</v>
      </c>
    </row>
    <row r="337" customFormat="false" ht="15" hidden="false" customHeight="false" outlineLevel="0" collapsed="false">
      <c r="A337" s="4" t="n">
        <f aca="false">sisgi!A337</f>
        <v>16500</v>
      </c>
      <c r="B337" s="5" t="str">
        <f aca="false">IFERROR(IF(INDEX(cnpj!$B:$B,MATCH(A337,cnpj!$A:$A,0))="","",INDEX(cnpj!$B:$B,MATCH(A337,cnpj!$A:$A,0))),"")</f>
        <v>01.415.932/0001-68</v>
      </c>
      <c r="C337" s="5" t="str">
        <f aca="false">IF(B337="","",RIGHT("00000000000000"&amp;SUBSTITUTE(SUBSTITUTE(SUBSTITUTE(SUBSTITUTE(B337,".",""),"/",""),"-","")," ",""),14))</f>
        <v>01415932000168</v>
      </c>
      <c r="D337" s="5" t="str">
        <f aca="false">IF(C337="","",MID(C337,1,2)&amp;"."&amp;MID(C337,3,3)&amp;"."&amp;MID(C337,6,3)&amp;"/"&amp;MID(C337,9,4)&amp;"-"&amp;MID(C337,13,2))</f>
        <v>01.415.932/0001-68</v>
      </c>
      <c r="E337" s="4" t="str">
        <f aca="false">IF(ISNA(MATCH(A337,cnpj!$A:$A,0)),"Lotação não existe na aba cnpj",IF(B337="","Sem CNPJ na aba cnpj","OK"))</f>
        <v>OK</v>
      </c>
    </row>
    <row r="338" customFormat="false" ht="15" hidden="false" customHeight="false" outlineLevel="0" collapsed="false">
      <c r="A338" s="4" t="n">
        <f aca="false">sisgi!A338</f>
        <v>16519</v>
      </c>
      <c r="B338" s="5" t="str">
        <f aca="false">IFERROR(IF(INDEX(cnpj!$B:$B,MATCH(A338,cnpj!$A:$A,0))="","",INDEX(cnpj!$B:$B,MATCH(A338,cnpj!$A:$A,0))),"")</f>
        <v>01.376.049/0001-06</v>
      </c>
      <c r="C338" s="5" t="str">
        <f aca="false">IF(B338="","",RIGHT("00000000000000"&amp;SUBSTITUTE(SUBSTITUTE(SUBSTITUTE(SUBSTITUTE(B338,".",""),"/",""),"-","")," ",""),14))</f>
        <v>01376049000106</v>
      </c>
      <c r="D338" s="5" t="str">
        <f aca="false">IF(C338="","",MID(C338,1,2)&amp;"."&amp;MID(C338,3,3)&amp;"."&amp;MID(C338,6,3)&amp;"/"&amp;MID(C338,9,4)&amp;"-"&amp;MID(C338,13,2))</f>
        <v>01.376.049/0001-06</v>
      </c>
      <c r="E338" s="4" t="str">
        <f aca="false">IF(ISNA(MATCH(A338,cnpj!$A:$A,0)),"Lotação não existe na aba cnpj",IF(B338="","Sem CNPJ na aba cnpj","OK"))</f>
        <v>OK</v>
      </c>
    </row>
    <row r="339" customFormat="false" ht="15" hidden="false" customHeight="false" outlineLevel="0" collapsed="false">
      <c r="A339" s="4" t="n">
        <f aca="false">sisgi!A339</f>
        <v>16543</v>
      </c>
      <c r="B339" s="5" t="str">
        <f aca="false">IFERROR(IF(INDEX(cnpj!$B:$B,MATCH(A339,cnpj!$A:$A,0))="","",INDEX(cnpj!$B:$B,MATCH(A339,cnpj!$A:$A,0))),"")</f>
        <v>24.771.768/0001-27</v>
      </c>
      <c r="C339" s="5" t="str">
        <f aca="false">IF(B339="","",RIGHT("00000000000000"&amp;SUBSTITUTE(SUBSTITUTE(SUBSTITUTE(SUBSTITUTE(B339,".",""),"/",""),"-","")," ",""),14))</f>
        <v>24771768000127</v>
      </c>
      <c r="D339" s="5" t="str">
        <f aca="false">IF(C339="","",MID(C339,1,2)&amp;"."&amp;MID(C339,3,3)&amp;"."&amp;MID(C339,6,3)&amp;"/"&amp;MID(C339,9,4)&amp;"-"&amp;MID(C339,13,2))</f>
        <v>24.771.768/0001-27</v>
      </c>
      <c r="E339" s="4" t="str">
        <f aca="false">IF(ISNA(MATCH(A339,cnpj!$A:$A,0)),"Lotação não existe na aba cnpj",IF(B339="","Sem CNPJ na aba cnpj","OK"))</f>
        <v>OK</v>
      </c>
    </row>
    <row r="340" customFormat="false" ht="15" hidden="false" customHeight="false" outlineLevel="0" collapsed="false">
      <c r="A340" s="4" t="n">
        <f aca="false">sisgi!A340</f>
        <v>16560</v>
      </c>
      <c r="B340" s="5" t="str">
        <f aca="false">IFERROR(IF(INDEX(cnpj!$B:$B,MATCH(A340,cnpj!$A:$A,0))="","",INDEX(cnpj!$B:$B,MATCH(A340,cnpj!$A:$A,0))),"")</f>
        <v>01.352.218/0001-78</v>
      </c>
      <c r="C340" s="5" t="str">
        <f aca="false">IF(B340="","",RIGHT("00000000000000"&amp;SUBSTITUTE(SUBSTITUTE(SUBSTITUTE(SUBSTITUTE(B340,".",""),"/",""),"-","")," ",""),14))</f>
        <v>01352218000178</v>
      </c>
      <c r="D340" s="5" t="str">
        <f aca="false">IF(C340="","",MID(C340,1,2)&amp;"."&amp;MID(C340,3,3)&amp;"."&amp;MID(C340,6,3)&amp;"/"&amp;MID(C340,9,4)&amp;"-"&amp;MID(C340,13,2))</f>
        <v>01.352.218/0001-78</v>
      </c>
      <c r="E340" s="4" t="str">
        <f aca="false">IF(ISNA(MATCH(A340,cnpj!$A:$A,0)),"Lotação não existe na aba cnpj",IF(B340="","Sem CNPJ na aba cnpj","OK"))</f>
        <v>OK</v>
      </c>
    </row>
    <row r="341" customFormat="false" ht="15" hidden="false" customHeight="false" outlineLevel="0" collapsed="false">
      <c r="A341" s="4" t="n">
        <f aca="false">sisgi!A341</f>
        <v>16594</v>
      </c>
      <c r="B341" s="5" t="str">
        <f aca="false">IFERROR(IF(INDEX(cnpj!$B:$B,MATCH(A341,cnpj!$A:$A,0))="","",INDEX(cnpj!$B:$B,MATCH(A341,cnpj!$A:$A,0))),"")</f>
        <v>01.618.633/0001-20</v>
      </c>
      <c r="C341" s="5" t="str">
        <f aca="false">IF(B341="","",RIGHT("00000000000000"&amp;SUBSTITUTE(SUBSTITUTE(SUBSTITUTE(SUBSTITUTE(B341,".",""),"/",""),"-","")," ",""),14))</f>
        <v>01618633000120</v>
      </c>
      <c r="D341" s="5" t="str">
        <f aca="false">IF(C341="","",MID(C341,1,2)&amp;"."&amp;MID(C341,3,3)&amp;"."&amp;MID(C341,6,3)&amp;"/"&amp;MID(C341,9,4)&amp;"-"&amp;MID(C341,13,2))</f>
        <v>01.618.633/0001-20</v>
      </c>
      <c r="E341" s="4" t="str">
        <f aca="false">IF(ISNA(MATCH(A341,cnpj!$A:$A,0)),"Lotação não existe na aba cnpj",IF(B341="","Sem CNPJ na aba cnpj","OK"))</f>
        <v>OK</v>
      </c>
    </row>
    <row r="342" customFormat="false" ht="15" hidden="false" customHeight="false" outlineLevel="0" collapsed="false">
      <c r="A342" s="4" t="n">
        <f aca="false">sisgi!A342</f>
        <v>16624</v>
      </c>
      <c r="B342" s="5" t="str">
        <f aca="false">IFERROR(IF(INDEX(cnpj!$B:$B,MATCH(A342,cnpj!$A:$A,0))="","",INDEX(cnpj!$B:$B,MATCH(A342,cnpj!$A:$A,0))),"")</f>
        <v>01.590.244/0001-34</v>
      </c>
      <c r="C342" s="5" t="str">
        <f aca="false">IF(B342="","",RIGHT("00000000000000"&amp;SUBSTITUTE(SUBSTITUTE(SUBSTITUTE(SUBSTITUTE(B342,".",""),"/",""),"-","")," ",""),14))</f>
        <v>01590244000134</v>
      </c>
      <c r="D342" s="5" t="str">
        <f aca="false">IF(C342="","",MID(C342,1,2)&amp;"."&amp;MID(C342,3,3)&amp;"."&amp;MID(C342,6,3)&amp;"/"&amp;MID(C342,9,4)&amp;"-"&amp;MID(C342,13,2))</f>
        <v>01.590.244/0001-34</v>
      </c>
      <c r="E342" s="4" t="str">
        <f aca="false">IF(ISNA(MATCH(A342,cnpj!$A:$A,0)),"Lotação não existe na aba cnpj",IF(B342="","Sem CNPJ na aba cnpj","OK"))</f>
        <v>OK</v>
      </c>
    </row>
    <row r="343" customFormat="false" ht="15" hidden="false" customHeight="false" outlineLevel="0" collapsed="false">
      <c r="A343" s="4" t="n">
        <f aca="false">sisgi!A343</f>
        <v>16632</v>
      </c>
      <c r="B343" s="5" t="str">
        <f aca="false">IFERROR(IF(INDEX(cnpj!$B:$B,MATCH(A343,cnpj!$A:$A,0))="","",INDEX(cnpj!$B:$B,MATCH(A343,cnpj!$A:$A,0))),"")</f>
        <v>03.507.415/0008-10</v>
      </c>
      <c r="C343" s="5" t="str">
        <f aca="false">IF(B343="","",RIGHT("00000000000000"&amp;SUBSTITUTE(SUBSTITUTE(SUBSTITUTE(SUBSTITUTE(B343,".",""),"/",""),"-","")," ",""),14))</f>
        <v>03507415000810</v>
      </c>
      <c r="D343" s="5" t="str">
        <f aca="false">IF(C343="","",MID(C343,1,2)&amp;"."&amp;MID(C343,3,3)&amp;"."&amp;MID(C343,6,3)&amp;"/"&amp;MID(C343,9,4)&amp;"-"&amp;MID(C343,13,2))</f>
        <v>03.507.415/0008-10</v>
      </c>
      <c r="E343" s="4" t="str">
        <f aca="false">IF(ISNA(MATCH(A343,cnpj!$A:$A,0)),"Lotação não existe na aba cnpj",IF(B343="","Sem CNPJ na aba cnpj","OK"))</f>
        <v>OK</v>
      </c>
    </row>
    <row r="344" customFormat="false" ht="15" hidden="false" customHeight="false" outlineLevel="0" collapsed="false">
      <c r="A344" s="4" t="n">
        <f aca="false">sisgi!A344</f>
        <v>16640</v>
      </c>
      <c r="B344" s="5" t="str">
        <f aca="false">IFERROR(IF(INDEX(cnpj!$B:$B,MATCH(A344,cnpj!$A:$A,0))="","",INDEX(cnpj!$B:$B,MATCH(A344,cnpj!$A:$A,0))),"")</f>
        <v>02.100.413/0001-73</v>
      </c>
      <c r="C344" s="5" t="str">
        <f aca="false">IF(B344="","",RIGHT("00000000000000"&amp;SUBSTITUTE(SUBSTITUTE(SUBSTITUTE(SUBSTITUTE(B344,".",""),"/",""),"-","")," ",""),14))</f>
        <v>02100413000173</v>
      </c>
      <c r="D344" s="5" t="str">
        <f aca="false">IF(C344="","",MID(C344,1,2)&amp;"."&amp;MID(C344,3,3)&amp;"."&amp;MID(C344,6,3)&amp;"/"&amp;MID(C344,9,4)&amp;"-"&amp;MID(C344,13,2))</f>
        <v>02.100.413/0001-73</v>
      </c>
      <c r="E344" s="4" t="str">
        <f aca="false">IF(ISNA(MATCH(A344,cnpj!$A:$A,0)),"Lotação não existe na aba cnpj",IF(B344="","Sem CNPJ na aba cnpj","OK"))</f>
        <v>OK</v>
      </c>
    </row>
    <row r="345" customFormat="false" ht="15" hidden="false" customHeight="false" outlineLevel="0" collapsed="false">
      <c r="A345" s="4" t="n">
        <f aca="false">sisgi!A345</f>
        <v>20516</v>
      </c>
      <c r="B345" s="5" t="str">
        <f aca="false">IFERROR(IF(INDEX(cnpj!$B:$B,MATCH(A345,cnpj!$A:$A,0))="","",INDEX(cnpj!$B:$B,MATCH(A345,cnpj!$A:$A,0))),"")</f>
        <v>01.590.241/0001-09</v>
      </c>
      <c r="C345" s="5" t="str">
        <f aca="false">IF(B345="","",RIGHT("00000000000000"&amp;SUBSTITUTE(SUBSTITUTE(SUBSTITUTE(SUBSTITUTE(B345,".",""),"/",""),"-","")," ",""),14))</f>
        <v>01590241000109</v>
      </c>
      <c r="D345" s="5" t="str">
        <f aca="false">IF(C345="","",MID(C345,1,2)&amp;"."&amp;MID(C345,3,3)&amp;"."&amp;MID(C345,6,3)&amp;"/"&amp;MID(C345,9,4)&amp;"-"&amp;MID(C345,13,2))</f>
        <v>01.590.241/0001-09</v>
      </c>
      <c r="E345" s="4" t="str">
        <f aca="false">IF(ISNA(MATCH(A345,cnpj!$A:$A,0)),"Lotação não existe na aba cnpj",IF(B345="","Sem CNPJ na aba cnpj","OK"))</f>
        <v>OK</v>
      </c>
    </row>
    <row r="346" customFormat="false" ht="15" hidden="false" customHeight="false" outlineLevel="0" collapsed="false">
      <c r="A346" s="4" t="n">
        <f aca="false">sisgi!A346</f>
        <v>21083</v>
      </c>
      <c r="B346" s="5" t="str">
        <f aca="false">IFERROR(IF(INDEX(cnpj!$B:$B,MATCH(A346,cnpj!$A:$A,0))="","",INDEX(cnpj!$B:$B,MATCH(A346,cnpj!$A:$A,0))),"")</f>
        <v>02.583.866/0001-06</v>
      </c>
      <c r="C346" s="5" t="str">
        <f aca="false">IF(B346="","",RIGHT("00000000000000"&amp;SUBSTITUTE(SUBSTITUTE(SUBSTITUTE(SUBSTITUTE(B346,".",""),"/",""),"-","")," ",""),14))</f>
        <v>02583866000106</v>
      </c>
      <c r="D346" s="5" t="str">
        <f aca="false">IF(C346="","",MID(C346,1,2)&amp;"."&amp;MID(C346,3,3)&amp;"."&amp;MID(C346,6,3)&amp;"/"&amp;MID(C346,9,4)&amp;"-"&amp;MID(C346,13,2))</f>
        <v>02.583.866/0001-06</v>
      </c>
      <c r="E346" s="4" t="str">
        <f aca="false">IF(ISNA(MATCH(A346,cnpj!$A:$A,0)),"Lotação não existe na aba cnpj",IF(B346="","Sem CNPJ na aba cnpj","OK"))</f>
        <v>OK</v>
      </c>
    </row>
    <row r="347" customFormat="false" ht="15" hidden="false" customHeight="false" outlineLevel="0" collapsed="false">
      <c r="A347" s="4" t="n">
        <f aca="false">sisgi!A347</f>
        <v>21091</v>
      </c>
      <c r="B347" s="5" t="str">
        <f aca="false">IFERROR(IF(INDEX(cnpj!$B:$B,MATCH(A347,cnpj!$A:$A,0))="","",INDEX(cnpj!$B:$B,MATCH(A347,cnpj!$A:$A,0))),"")</f>
        <v>02.479.615/0001-78</v>
      </c>
      <c r="C347" s="5" t="str">
        <f aca="false">IF(B347="","",RIGHT("00000000000000"&amp;SUBSTITUTE(SUBSTITUTE(SUBSTITUTE(SUBSTITUTE(B347,".",""),"/",""),"-","")," ",""),14))</f>
        <v>02479615000178</v>
      </c>
      <c r="D347" s="5" t="str">
        <f aca="false">IF(C347="","",MID(C347,1,2)&amp;"."&amp;MID(C347,3,3)&amp;"."&amp;MID(C347,6,3)&amp;"/"&amp;MID(C347,9,4)&amp;"-"&amp;MID(C347,13,2))</f>
        <v>02.479.615/0001-78</v>
      </c>
      <c r="E347" s="4" t="str">
        <f aca="false">IF(ISNA(MATCH(A347,cnpj!$A:$A,0)),"Lotação não existe na aba cnpj",IF(B347="","Sem CNPJ na aba cnpj","OK"))</f>
        <v>OK</v>
      </c>
    </row>
    <row r="348" customFormat="false" ht="15" hidden="false" customHeight="false" outlineLevel="0" collapsed="false">
      <c r="A348" s="4" t="n">
        <f aca="false">sisgi!A348</f>
        <v>21628</v>
      </c>
      <c r="B348" s="5" t="str">
        <f aca="false">IFERROR(IF(INDEX(cnpj!$B:$B,MATCH(A348,cnpj!$A:$A,0))="","",INDEX(cnpj!$B:$B,MATCH(A348,cnpj!$A:$A,0))),"")</f>
        <v>03.136.749/0001-59</v>
      </c>
      <c r="C348" s="5" t="str">
        <f aca="false">IF(B348="","",RIGHT("00000000000000"&amp;SUBSTITUTE(SUBSTITUTE(SUBSTITUTE(SUBSTITUTE(B348,".",""),"/",""),"-","")," ",""),14))</f>
        <v>03136749000159</v>
      </c>
      <c r="D348" s="5" t="str">
        <f aca="false">IF(C348="","",MID(C348,1,2)&amp;"."&amp;MID(C348,3,3)&amp;"."&amp;MID(C348,6,3)&amp;"/"&amp;MID(C348,9,4)&amp;"-"&amp;MID(C348,13,2))</f>
        <v>03.136.749/0001-59</v>
      </c>
      <c r="E348" s="4" t="str">
        <f aca="false">IF(ISNA(MATCH(A348,cnpj!$A:$A,0)),"Lotação não existe na aba cnpj",IF(B348="","Sem CNPJ na aba cnpj","OK"))</f>
        <v>OK</v>
      </c>
    </row>
    <row r="349" customFormat="false" ht="15" hidden="false" customHeight="false" outlineLevel="0" collapsed="false">
      <c r="A349" s="4" t="n">
        <f aca="false">sisgi!A349</f>
        <v>21636</v>
      </c>
      <c r="B349" s="5" t="str">
        <f aca="false">IFERROR(IF(INDEX(cnpj!$B:$B,MATCH(A349,cnpj!$A:$A,0))="","",INDEX(cnpj!$B:$B,MATCH(A349,cnpj!$A:$A,0))),"")</f>
        <v>03.185.673/0001-51</v>
      </c>
      <c r="C349" s="5" t="str">
        <f aca="false">IF(B349="","",RIGHT("00000000000000"&amp;SUBSTITUTE(SUBSTITUTE(SUBSTITUTE(SUBSTITUTE(B349,".",""),"/",""),"-","")," ",""),14))</f>
        <v>03185673000151</v>
      </c>
      <c r="D349" s="5" t="str">
        <f aca="false">IF(C349="","",MID(C349,1,2)&amp;"."&amp;MID(C349,3,3)&amp;"."&amp;MID(C349,6,3)&amp;"/"&amp;MID(C349,9,4)&amp;"-"&amp;MID(C349,13,2))</f>
        <v>03.185.673/0001-51</v>
      </c>
      <c r="E349" s="4" t="str">
        <f aca="false">IF(ISNA(MATCH(A349,cnpj!$A:$A,0)),"Lotação não existe na aba cnpj",IF(B349="","Sem CNPJ na aba cnpj","OK"))</f>
        <v>OK</v>
      </c>
    </row>
    <row r="350" customFormat="false" ht="15" hidden="false" customHeight="false" outlineLevel="0" collapsed="false">
      <c r="A350" s="4" t="n">
        <f aca="false">sisgi!A350</f>
        <v>21652</v>
      </c>
      <c r="B350" s="5" t="str">
        <f aca="false">IFERROR(IF(INDEX(cnpj!$B:$B,MATCH(A350,cnpj!$A:$A,0))="","",INDEX(cnpj!$B:$B,MATCH(A350,cnpj!$A:$A,0))),"")</f>
        <v>01.617.465/0001-59</v>
      </c>
      <c r="C350" s="5" t="str">
        <f aca="false">IF(B350="","",RIGHT("00000000000000"&amp;SUBSTITUTE(SUBSTITUTE(SUBSTITUTE(SUBSTITUTE(B350,".",""),"/",""),"-","")," ",""),14))</f>
        <v>01617465000159</v>
      </c>
      <c r="D350" s="5" t="str">
        <f aca="false">IF(C350="","",MID(C350,1,2)&amp;"."&amp;MID(C350,3,3)&amp;"."&amp;MID(C350,6,3)&amp;"/"&amp;MID(C350,9,4)&amp;"-"&amp;MID(C350,13,2))</f>
        <v>01.617.465/0001-59</v>
      </c>
      <c r="E350" s="4" t="str">
        <f aca="false">IF(ISNA(MATCH(A350,cnpj!$A:$A,0)),"Lotação não existe na aba cnpj",IF(B350="","Sem CNPJ na aba cnpj","OK"))</f>
        <v>OK</v>
      </c>
    </row>
    <row r="351" customFormat="false" ht="15" hidden="false" customHeight="false" outlineLevel="0" collapsed="false">
      <c r="A351" s="4" t="n">
        <f aca="false">sisgi!A351</f>
        <v>21660</v>
      </c>
      <c r="B351" s="5" t="str">
        <f aca="false">IFERROR(IF(INDEX(cnpj!$B:$B,MATCH(A351,cnpj!$A:$A,0))="","",INDEX(cnpj!$B:$B,MATCH(A351,cnpj!$A:$A,0))),"")</f>
        <v>01.944.567/0001-89</v>
      </c>
      <c r="C351" s="5" t="str">
        <f aca="false">IF(B351="","",RIGHT("00000000000000"&amp;SUBSTITUTE(SUBSTITUTE(SUBSTITUTE(SUBSTITUTE(B351,".",""),"/",""),"-","")," ",""),14))</f>
        <v>01944567000189</v>
      </c>
      <c r="D351" s="5" t="str">
        <f aca="false">IF(C351="","",MID(C351,1,2)&amp;"."&amp;MID(C351,3,3)&amp;"."&amp;MID(C351,6,3)&amp;"/"&amp;MID(C351,9,4)&amp;"-"&amp;MID(C351,13,2))</f>
        <v>01.944.567/0001-89</v>
      </c>
      <c r="E351" s="4" t="str">
        <f aca="false">IF(ISNA(MATCH(A351,cnpj!$A:$A,0)),"Lotação não existe na aba cnpj",IF(B351="","Sem CNPJ na aba cnpj","OK"))</f>
        <v>OK</v>
      </c>
    </row>
    <row r="352" customFormat="false" ht="15" hidden="false" customHeight="false" outlineLevel="0" collapsed="false">
      <c r="A352" s="4" t="n">
        <f aca="false">sisgi!A352</f>
        <v>21679</v>
      </c>
      <c r="B352" s="5" t="str">
        <f aca="false">IFERROR(IF(INDEX(cnpj!$B:$B,MATCH(A352,cnpj!$A:$A,0))="","",INDEX(cnpj!$B:$B,MATCH(A352,cnpj!$A:$A,0))),"")</f>
        <v>01.575.582/0001-05</v>
      </c>
      <c r="C352" s="5" t="str">
        <f aca="false">IF(B352="","",RIGHT("00000000000000"&amp;SUBSTITUTE(SUBSTITUTE(SUBSTITUTE(SUBSTITUTE(B352,".",""),"/",""),"-","")," ",""),14))</f>
        <v>01575582000105</v>
      </c>
      <c r="D352" s="5" t="str">
        <f aca="false">IF(C352="","",MID(C352,1,2)&amp;"."&amp;MID(C352,3,3)&amp;"."&amp;MID(C352,6,3)&amp;"/"&amp;MID(C352,9,4)&amp;"-"&amp;MID(C352,13,2))</f>
        <v>01.575.582/0001-05</v>
      </c>
      <c r="E352" s="4" t="str">
        <f aca="false">IF(ISNA(MATCH(A352,cnpj!$A:$A,0)),"Lotação não existe na aba cnpj",IF(B352="","Sem CNPJ na aba cnpj","OK"))</f>
        <v>OK</v>
      </c>
    </row>
    <row r="353" customFormat="false" ht="15" hidden="false" customHeight="false" outlineLevel="0" collapsed="false">
      <c r="A353" s="4" t="n">
        <f aca="false">sisgi!A353</f>
        <v>21717</v>
      </c>
      <c r="B353" s="5" t="str">
        <f aca="false">IFERROR(IF(INDEX(cnpj!$B:$B,MATCH(A353,cnpj!$A:$A,0))="","",INDEX(cnpj!$B:$B,MATCH(A353,cnpj!$A:$A,0))),"")</f>
        <v>01.347.955/0001-82</v>
      </c>
      <c r="C353" s="5" t="str">
        <f aca="false">IF(B353="","",RIGHT("00000000000000"&amp;SUBSTITUTE(SUBSTITUTE(SUBSTITUTE(SUBSTITUTE(B353,".",""),"/",""),"-","")," ",""),14))</f>
        <v>01347955000182</v>
      </c>
      <c r="D353" s="5" t="str">
        <f aca="false">IF(C353="","",MID(C353,1,2)&amp;"."&amp;MID(C353,3,3)&amp;"."&amp;MID(C353,6,3)&amp;"/"&amp;MID(C353,9,4)&amp;"-"&amp;MID(C353,13,2))</f>
        <v>01.347.955/0001-82</v>
      </c>
      <c r="E353" s="4" t="str">
        <f aca="false">IF(ISNA(MATCH(A353,cnpj!$A:$A,0)),"Lotação não existe na aba cnpj",IF(B353="","Sem CNPJ na aba cnpj","OK"))</f>
        <v>OK</v>
      </c>
    </row>
    <row r="354" customFormat="false" ht="15" hidden="false" customHeight="false" outlineLevel="0" collapsed="false">
      <c r="A354" s="4" t="n">
        <f aca="false">sisgi!A354</f>
        <v>23329</v>
      </c>
      <c r="B354" s="5" t="str">
        <f aca="false">IFERROR(IF(INDEX(cnpj!$B:$B,MATCH(A354,cnpj!$A:$A,0))="","",INDEX(cnpj!$B:$B,MATCH(A354,cnpj!$A:$A,0))),"")</f>
        <v>03.964.573/0001-23</v>
      </c>
      <c r="C354" s="5" t="str">
        <f aca="false">IF(B354="","",RIGHT("00000000000000"&amp;SUBSTITUTE(SUBSTITUTE(SUBSTITUTE(SUBSTITUTE(B354,".",""),"/",""),"-","")," ",""),14))</f>
        <v>03964573000123</v>
      </c>
      <c r="D354" s="5" t="str">
        <f aca="false">IF(C354="","",MID(C354,1,2)&amp;"."&amp;MID(C354,3,3)&amp;"."&amp;MID(C354,6,3)&amp;"/"&amp;MID(C354,9,4)&amp;"-"&amp;MID(C354,13,2))</f>
        <v>03.964.573/0001-23</v>
      </c>
      <c r="E354" s="4" t="str">
        <f aca="false">IF(ISNA(MATCH(A354,cnpj!$A:$A,0)),"Lotação não existe na aba cnpj",IF(B354="","Sem CNPJ na aba cnpj","OK"))</f>
        <v>OK</v>
      </c>
    </row>
    <row r="355" customFormat="false" ht="15" hidden="false" customHeight="false" outlineLevel="0" collapsed="false">
      <c r="A355" s="4" t="n">
        <f aca="false">sisgi!A355</f>
        <v>23841</v>
      </c>
      <c r="B355" s="5" t="str">
        <f aca="false">IFERROR(IF(INDEX(cnpj!$B:$B,MATCH(A355,cnpj!$A:$A,0))="","",INDEX(cnpj!$B:$B,MATCH(A355,cnpj!$A:$A,0))),"")</f>
        <v>02.506.868/0001-93</v>
      </c>
      <c r="C355" s="5" t="str">
        <f aca="false">IF(B355="","",RIGHT("00000000000000"&amp;SUBSTITUTE(SUBSTITUTE(SUBSTITUTE(SUBSTITUTE(B355,".",""),"/",""),"-","")," ",""),14))</f>
        <v>02506868000193</v>
      </c>
      <c r="D355" s="5" t="str">
        <f aca="false">IF(C355="","",MID(C355,1,2)&amp;"."&amp;MID(C355,3,3)&amp;"."&amp;MID(C355,6,3)&amp;"/"&amp;MID(C355,9,4)&amp;"-"&amp;MID(C355,13,2))</f>
        <v>02.506.868/0001-93</v>
      </c>
      <c r="E355" s="4" t="str">
        <f aca="false">IF(ISNA(MATCH(A355,cnpj!$A:$A,0)),"Lotação não existe na aba cnpj",IF(B355="","Sem CNPJ na aba cnpj","OK"))</f>
        <v>OK</v>
      </c>
    </row>
    <row r="356" customFormat="false" ht="15" hidden="false" customHeight="false" outlineLevel="0" collapsed="false">
      <c r="A356" s="4" t="n">
        <f aca="false">sisgi!A356</f>
        <v>38512</v>
      </c>
      <c r="B356" s="5" t="str">
        <f aca="false">IFERROR(IF(INDEX(cnpj!$B:$B,MATCH(A356,cnpj!$A:$A,0))="","",INDEX(cnpj!$B:$B,MATCH(A356,cnpj!$A:$A,0))),"")</f>
        <v>01.468.877/0001-74</v>
      </c>
      <c r="C356" s="5" t="str">
        <f aca="false">IF(B356="","",RIGHT("00000000000000"&amp;SUBSTITUTE(SUBSTITUTE(SUBSTITUTE(SUBSTITUTE(B356,".",""),"/",""),"-","")," ",""),14))</f>
        <v>01468877000174</v>
      </c>
      <c r="D356" s="5" t="str">
        <f aca="false">IF(C356="","",MID(C356,1,2)&amp;"."&amp;MID(C356,3,3)&amp;"."&amp;MID(C356,6,3)&amp;"/"&amp;MID(C356,9,4)&amp;"-"&amp;MID(C356,13,2))</f>
        <v>01.468.877/0001-74</v>
      </c>
      <c r="E356" s="4" t="str">
        <f aca="false">IF(ISNA(MATCH(A356,cnpj!$A:$A,0)),"Lotação não existe na aba cnpj",IF(B356="","Sem CNPJ na aba cnpj","OK"))</f>
        <v>OK</v>
      </c>
    </row>
    <row r="357" customFormat="false" ht="15" hidden="false" customHeight="false" outlineLevel="0" collapsed="false">
      <c r="A357" s="4" t="n">
        <f aca="false">sisgi!A357</f>
        <v>38563</v>
      </c>
      <c r="B357" s="5" t="str">
        <f aca="false">IFERROR(IF(INDEX(cnpj!$B:$B,MATCH(A357,cnpj!$A:$A,0))="","",INDEX(cnpj!$B:$B,MATCH(A357,cnpj!$A:$A,0))),"")</f>
        <v>01.383.171/0001-00</v>
      </c>
      <c r="C357" s="5" t="str">
        <f aca="false">IF(B357="","",RIGHT("00000000000000"&amp;SUBSTITUTE(SUBSTITUTE(SUBSTITUTE(SUBSTITUTE(B357,".",""),"/",""),"-","")," ",""),14))</f>
        <v>01383171000100</v>
      </c>
      <c r="D357" s="5" t="str">
        <f aca="false">IF(C357="","",MID(C357,1,2)&amp;"."&amp;MID(C357,3,3)&amp;"."&amp;MID(C357,6,3)&amp;"/"&amp;MID(C357,9,4)&amp;"-"&amp;MID(C357,13,2))</f>
        <v>01.383.171/0001-00</v>
      </c>
      <c r="E357" s="4" t="str">
        <f aca="false">IF(ISNA(MATCH(A357,cnpj!$A:$A,0)),"Lotação não existe na aba cnpj",IF(B357="","Sem CNPJ na aba cnpj","OK"))</f>
        <v>OK</v>
      </c>
    </row>
    <row r="358" customFormat="false" ht="15" hidden="false" customHeight="false" outlineLevel="0" collapsed="false">
      <c r="A358" s="4" t="n">
        <f aca="false">sisgi!A358</f>
        <v>38571</v>
      </c>
      <c r="B358" s="5" t="str">
        <f aca="false">IFERROR(IF(INDEX(cnpj!$B:$B,MATCH(A358,cnpj!$A:$A,0))="","",INDEX(cnpj!$B:$B,MATCH(A358,cnpj!$A:$A,0))),"")</f>
        <v>01.631.888/0001-23</v>
      </c>
      <c r="C358" s="5" t="str">
        <f aca="false">IF(B358="","",RIGHT("00000000000000"&amp;SUBSTITUTE(SUBSTITUTE(SUBSTITUTE(SUBSTITUTE(B358,".",""),"/",""),"-","")," ",""),14))</f>
        <v>01631888000123</v>
      </c>
      <c r="D358" s="5" t="str">
        <f aca="false">IF(C358="","",MID(C358,1,2)&amp;"."&amp;MID(C358,3,3)&amp;"."&amp;MID(C358,6,3)&amp;"/"&amp;MID(C358,9,4)&amp;"-"&amp;MID(C358,13,2))</f>
        <v>01.631.888/0001-23</v>
      </c>
      <c r="E358" s="4" t="str">
        <f aca="false">IF(ISNA(MATCH(A358,cnpj!$A:$A,0)),"Lotação não existe na aba cnpj",IF(B358="","Sem CNPJ na aba cnpj","OK"))</f>
        <v>OK</v>
      </c>
    </row>
    <row r="359" customFormat="false" ht="15" hidden="false" customHeight="false" outlineLevel="0" collapsed="false">
      <c r="A359" s="4" t="n">
        <f aca="false">sisgi!A359</f>
        <v>38598</v>
      </c>
      <c r="B359" s="5" t="str">
        <f aca="false">IFERROR(IF(INDEX(cnpj!$B:$B,MATCH(A359,cnpj!$A:$A,0))="","",INDEX(cnpj!$B:$B,MATCH(A359,cnpj!$A:$A,0))),"")</f>
        <v>01.375.826/0001-06</v>
      </c>
      <c r="C359" s="5" t="str">
        <f aca="false">IF(B359="","",RIGHT("00000000000000"&amp;SUBSTITUTE(SUBSTITUTE(SUBSTITUTE(SUBSTITUTE(B359,".",""),"/",""),"-","")," ",""),14))</f>
        <v>01375826000106</v>
      </c>
      <c r="D359" s="5" t="str">
        <f aca="false">IF(C359="","",MID(C359,1,2)&amp;"."&amp;MID(C359,3,3)&amp;"."&amp;MID(C359,6,3)&amp;"/"&amp;MID(C359,9,4)&amp;"-"&amp;MID(C359,13,2))</f>
        <v>01.375.826/0001-06</v>
      </c>
      <c r="E359" s="4" t="str">
        <f aca="false">IF(ISNA(MATCH(A359,cnpj!$A:$A,0)),"Lotação não existe na aba cnpj",IF(B359="","Sem CNPJ na aba cnpj","OK"))</f>
        <v>OK</v>
      </c>
    </row>
    <row r="360" customFormat="false" ht="15" hidden="false" customHeight="false" outlineLevel="0" collapsed="false">
      <c r="A360" s="4" t="n">
        <f aca="false">sisgi!A360</f>
        <v>38636</v>
      </c>
      <c r="B360" s="5" t="str">
        <f aca="false">IFERROR(IF(INDEX(cnpj!$B:$B,MATCH(A360,cnpj!$A:$A,0))="","",INDEX(cnpj!$B:$B,MATCH(A360,cnpj!$A:$A,0))),"")</f>
        <v>02.643.746/0001-49</v>
      </c>
      <c r="C360" s="5" t="str">
        <f aca="false">IF(B360="","",RIGHT("00000000000000"&amp;SUBSTITUTE(SUBSTITUTE(SUBSTITUTE(SUBSTITUTE(B360,".",""),"/",""),"-","")," ",""),14))</f>
        <v>02643746000149</v>
      </c>
      <c r="D360" s="5" t="str">
        <f aca="false">IF(C360="","",MID(C360,1,2)&amp;"."&amp;MID(C360,3,3)&amp;"."&amp;MID(C360,6,3)&amp;"/"&amp;MID(C360,9,4)&amp;"-"&amp;MID(C360,13,2))</f>
        <v>02.643.746/0001-49</v>
      </c>
      <c r="E360" s="4" t="str">
        <f aca="false">IF(ISNA(MATCH(A360,cnpj!$A:$A,0)),"Lotação não existe na aba cnpj",IF(B360="","Sem CNPJ na aba cnpj","OK"))</f>
        <v>OK</v>
      </c>
    </row>
    <row r="361" customFormat="false" ht="15" hidden="false" customHeight="false" outlineLevel="0" collapsed="false">
      <c r="A361" s="4" t="n">
        <f aca="false">sisgi!A361</f>
        <v>38652</v>
      </c>
      <c r="B361" s="5" t="str">
        <f aca="false">IFERROR(IF(INDEX(cnpj!$B:$B,MATCH(A361,cnpj!$A:$A,0))="","",INDEX(cnpj!$B:$B,MATCH(A361,cnpj!$A:$A,0))),"")</f>
        <v>03.097.662/0001-10</v>
      </c>
      <c r="C361" s="5" t="str">
        <f aca="false">IF(B361="","",RIGHT("00000000000000"&amp;SUBSTITUTE(SUBSTITUTE(SUBSTITUTE(SUBSTITUTE(B361,".",""),"/",""),"-","")," ",""),14))</f>
        <v>03097662000110</v>
      </c>
      <c r="D361" s="5" t="str">
        <f aca="false">IF(C361="","",MID(C361,1,2)&amp;"."&amp;MID(C361,3,3)&amp;"."&amp;MID(C361,6,3)&amp;"/"&amp;MID(C361,9,4)&amp;"-"&amp;MID(C361,13,2))</f>
        <v>03.097.662/0001-10</v>
      </c>
      <c r="E361" s="4" t="str">
        <f aca="false">IF(ISNA(MATCH(A361,cnpj!$A:$A,0)),"Lotação não existe na aba cnpj",IF(B361="","Sem CNPJ na aba cnpj","OK"))</f>
        <v>OK</v>
      </c>
    </row>
    <row r="362" customFormat="false" ht="15" hidden="false" customHeight="false" outlineLevel="0" collapsed="false">
      <c r="A362" s="4" t="n">
        <f aca="false">sisgi!A362</f>
        <v>38709</v>
      </c>
      <c r="B362" s="5" t="str">
        <f aca="false">IFERROR(IF(INDEX(cnpj!$B:$B,MATCH(A362,cnpj!$A:$A,0))="","",INDEX(cnpj!$B:$B,MATCH(A362,cnpj!$A:$A,0))),"")</f>
        <v>03.097.282/0001-85</v>
      </c>
      <c r="C362" s="5" t="str">
        <f aca="false">IF(B362="","",RIGHT("00000000000000"&amp;SUBSTITUTE(SUBSTITUTE(SUBSTITUTE(SUBSTITUTE(B362,".",""),"/",""),"-","")," ",""),14))</f>
        <v>03097282000185</v>
      </c>
      <c r="D362" s="5" t="str">
        <f aca="false">IF(C362="","",MID(C362,1,2)&amp;"."&amp;MID(C362,3,3)&amp;"."&amp;MID(C362,6,3)&amp;"/"&amp;MID(C362,9,4)&amp;"-"&amp;MID(C362,13,2))</f>
        <v>03.097.282/0001-85</v>
      </c>
      <c r="E362" s="4" t="str">
        <f aca="false">IF(ISNA(MATCH(A362,cnpj!$A:$A,0)),"Lotação não existe na aba cnpj",IF(B362="","Sem CNPJ na aba cnpj","OK"))</f>
        <v>OK</v>
      </c>
    </row>
    <row r="363" customFormat="false" ht="15" hidden="false" customHeight="false" outlineLevel="0" collapsed="false">
      <c r="A363" s="4" t="n">
        <f aca="false">sisgi!A363</f>
        <v>38806</v>
      </c>
      <c r="B363" s="5" t="str">
        <f aca="false">IFERROR(IF(INDEX(cnpj!$B:$B,MATCH(A363,cnpj!$A:$A,0))="","",INDEX(cnpj!$B:$B,MATCH(A363,cnpj!$A:$A,0))),"")</f>
        <v>01.918.263/0001-47</v>
      </c>
      <c r="C363" s="5" t="str">
        <f aca="false">IF(B363="","",RIGHT("00000000000000"&amp;SUBSTITUTE(SUBSTITUTE(SUBSTITUTE(SUBSTITUTE(B363,".",""),"/",""),"-","")," ",""),14))</f>
        <v>01918263000147</v>
      </c>
      <c r="D363" s="5" t="str">
        <f aca="false">IF(C363="","",MID(C363,1,2)&amp;"."&amp;MID(C363,3,3)&amp;"."&amp;MID(C363,6,3)&amp;"/"&amp;MID(C363,9,4)&amp;"-"&amp;MID(C363,13,2))</f>
        <v>01.918.263/0001-47</v>
      </c>
      <c r="E363" s="4" t="str">
        <f aca="false">IF(ISNA(MATCH(A363,cnpj!$A:$A,0)),"Lotação não existe na aba cnpj",IF(B363="","Sem CNPJ na aba cnpj","OK"))</f>
        <v>OK</v>
      </c>
    </row>
    <row r="364" customFormat="false" ht="15" hidden="false" customHeight="false" outlineLevel="0" collapsed="false">
      <c r="A364" s="4" t="n">
        <f aca="false">sisgi!A364</f>
        <v>39055</v>
      </c>
      <c r="B364" s="5" t="str">
        <f aca="false">IFERROR(IF(INDEX(cnpj!$B:$B,MATCH(A364,cnpj!$A:$A,0))="","",INDEX(cnpj!$B:$B,MATCH(A364,cnpj!$A:$A,0))),"")</f>
        <v>03.143.326/0001-66</v>
      </c>
      <c r="C364" s="5" t="str">
        <f aca="false">IF(B364="","",RIGHT("00000000000000"&amp;SUBSTITUTE(SUBSTITUTE(SUBSTITUTE(SUBSTITUTE(B364,".",""),"/",""),"-","")," ",""),14))</f>
        <v>03143326000166</v>
      </c>
      <c r="D364" s="5" t="str">
        <f aca="false">IF(C364="","",MID(C364,1,2)&amp;"."&amp;MID(C364,3,3)&amp;"."&amp;MID(C364,6,3)&amp;"/"&amp;MID(C364,9,4)&amp;"-"&amp;MID(C364,13,2))</f>
        <v>03.143.326/0001-66</v>
      </c>
      <c r="E364" s="4" t="str">
        <f aca="false">IF(ISNA(MATCH(A364,cnpj!$A:$A,0)),"Lotação não existe na aba cnpj",IF(B364="","Sem CNPJ na aba cnpj","OK"))</f>
        <v>OK</v>
      </c>
    </row>
    <row r="365" customFormat="false" ht="15" hidden="false" customHeight="false" outlineLevel="0" collapsed="false">
      <c r="A365" s="4" t="n">
        <f aca="false">sisgi!A365</f>
        <v>40096</v>
      </c>
      <c r="B365" s="5" t="str">
        <f aca="false">IFERROR(IF(INDEX(cnpj!$B:$B,MATCH(A365,cnpj!$A:$A,0))="","",INDEX(cnpj!$B:$B,MATCH(A365,cnpj!$A:$A,0))),"")</f>
        <v>02.471.495/0001-62</v>
      </c>
      <c r="C365" s="5" t="str">
        <f aca="false">IF(B365="","",RIGHT("00000000000000"&amp;SUBSTITUTE(SUBSTITUTE(SUBSTITUTE(SUBSTITUTE(B365,".",""),"/",""),"-","")," ",""),14))</f>
        <v>02471495000162</v>
      </c>
      <c r="D365" s="5" t="str">
        <f aca="false">IF(C365="","",MID(C365,1,2)&amp;"."&amp;MID(C365,3,3)&amp;"."&amp;MID(C365,6,3)&amp;"/"&amp;MID(C365,9,4)&amp;"-"&amp;MID(C365,13,2))</f>
        <v>02.471.495/0001-62</v>
      </c>
      <c r="E365" s="4" t="str">
        <f aca="false">IF(ISNA(MATCH(A365,cnpj!$A:$A,0)),"Lotação não existe na aba cnpj",IF(B365="","Sem CNPJ na aba cnpj","OK"))</f>
        <v>OK</v>
      </c>
    </row>
    <row r="366" customFormat="false" ht="15" hidden="false" customHeight="false" outlineLevel="0" collapsed="false">
      <c r="A366" s="4" t="n">
        <f aca="false">sisgi!A366</f>
        <v>40118</v>
      </c>
      <c r="B366" s="5" t="str">
        <f aca="false">IFERROR(IF(INDEX(cnpj!$B:$B,MATCH(A366,cnpj!$A:$A,0))="","",INDEX(cnpj!$B:$B,MATCH(A366,cnpj!$A:$A,0))),"")</f>
        <v>01.506.610/0001-24</v>
      </c>
      <c r="C366" s="5" t="str">
        <f aca="false">IF(B366="","",RIGHT("00000000000000"&amp;SUBSTITUTE(SUBSTITUTE(SUBSTITUTE(SUBSTITUTE(B366,".",""),"/",""),"-","")," ",""),14))</f>
        <v>01506610000124</v>
      </c>
      <c r="D366" s="5" t="str">
        <f aca="false">IF(C366="","",MID(C366,1,2)&amp;"."&amp;MID(C366,3,3)&amp;"."&amp;MID(C366,6,3)&amp;"/"&amp;MID(C366,9,4)&amp;"-"&amp;MID(C366,13,2))</f>
        <v>01.506.610/0001-24</v>
      </c>
      <c r="E366" s="4" t="str">
        <f aca="false">IF(ISNA(MATCH(A366,cnpj!$A:$A,0)),"Lotação não existe na aba cnpj",IF(B366="","Sem CNPJ na aba cnpj","OK"))</f>
        <v>OK</v>
      </c>
    </row>
    <row r="367" customFormat="false" ht="15" hidden="false" customHeight="false" outlineLevel="0" collapsed="false">
      <c r="A367" s="4" t="n">
        <f aca="false">sisgi!A367</f>
        <v>40320</v>
      </c>
      <c r="B367" s="5" t="str">
        <f aca="false">IFERROR(IF(INDEX(cnpj!$B:$B,MATCH(A367,cnpj!$A:$A,0))="","",INDEX(cnpj!$B:$B,MATCH(A367,cnpj!$A:$A,0))),"")</f>
        <v>01.383.169/0001-30</v>
      </c>
      <c r="C367" s="5" t="str">
        <f aca="false">IF(B367="","",RIGHT("00000000000000"&amp;SUBSTITUTE(SUBSTITUTE(SUBSTITUTE(SUBSTITUTE(B367,".",""),"/",""),"-","")," ",""),14))</f>
        <v>01383169000130</v>
      </c>
      <c r="D367" s="5" t="str">
        <f aca="false">IF(C367="","",MID(C367,1,2)&amp;"."&amp;MID(C367,3,3)&amp;"."&amp;MID(C367,6,3)&amp;"/"&amp;MID(C367,9,4)&amp;"-"&amp;MID(C367,13,2))</f>
        <v>01.383.169/0001-30</v>
      </c>
      <c r="E367" s="4" t="str">
        <f aca="false">IF(ISNA(MATCH(A367,cnpj!$A:$A,0)),"Lotação não existe na aba cnpj",IF(B367="","Sem CNPJ na aba cnpj","OK"))</f>
        <v>OK</v>
      </c>
    </row>
    <row r="368" customFormat="false" ht="15" hidden="false" customHeight="false" outlineLevel="0" collapsed="false">
      <c r="A368" s="4" t="n">
        <f aca="false">sisgi!A368</f>
        <v>40452</v>
      </c>
      <c r="B368" s="5" t="str">
        <f aca="false">IFERROR(IF(INDEX(cnpj!$B:$B,MATCH(A368,cnpj!$A:$A,0))="","",INDEX(cnpj!$B:$B,MATCH(A368,cnpj!$A:$A,0))),"")</f>
        <v>03.115.082/0001-08</v>
      </c>
      <c r="C368" s="5" t="str">
        <f aca="false">IF(B368="","",RIGHT("00000000000000"&amp;SUBSTITUTE(SUBSTITUTE(SUBSTITUTE(SUBSTITUTE(B368,".",""),"/",""),"-","")," ",""),14))</f>
        <v>03115082000108</v>
      </c>
      <c r="D368" s="5" t="str">
        <f aca="false">IF(C368="","",MID(C368,1,2)&amp;"."&amp;MID(C368,3,3)&amp;"."&amp;MID(C368,6,3)&amp;"/"&amp;MID(C368,9,4)&amp;"-"&amp;MID(C368,13,2))</f>
        <v>03.115.082/0001-08</v>
      </c>
      <c r="E368" s="4" t="str">
        <f aca="false">IF(ISNA(MATCH(A368,cnpj!$A:$A,0)),"Lotação não existe na aba cnpj",IF(B368="","Sem CNPJ na aba cnpj","OK"))</f>
        <v>OK</v>
      </c>
    </row>
    <row r="369" customFormat="false" ht="15" hidden="false" customHeight="false" outlineLevel="0" collapsed="false">
      <c r="A369" s="4" t="n">
        <f aca="false">sisgi!A369</f>
        <v>42587</v>
      </c>
      <c r="B369" s="5" t="str">
        <f aca="false">IFERROR(IF(INDEX(cnpj!$B:$B,MATCH(A369,cnpj!$A:$A,0))="","",INDEX(cnpj!$B:$B,MATCH(A369,cnpj!$A:$A,0))),"")</f>
        <v>01.528.647/0001-53</v>
      </c>
      <c r="C369" s="5" t="str">
        <f aca="false">IF(B369="","",RIGHT("00000000000000"&amp;SUBSTITUTE(SUBSTITUTE(SUBSTITUTE(SUBSTITUTE(B369,".",""),"/",""),"-","")," ",""),14))</f>
        <v>01528647000153</v>
      </c>
      <c r="D369" s="5" t="str">
        <f aca="false">IF(C369="","",MID(C369,1,2)&amp;"."&amp;MID(C369,3,3)&amp;"."&amp;MID(C369,6,3)&amp;"/"&amp;MID(C369,9,4)&amp;"-"&amp;MID(C369,13,2))</f>
        <v>01.528.647/0001-53</v>
      </c>
      <c r="E369" s="4" t="str">
        <f aca="false">IF(ISNA(MATCH(A369,cnpj!$A:$A,0)),"Lotação não existe na aba cnpj",IF(B369="","Sem CNPJ na aba cnpj","OK"))</f>
        <v>OK</v>
      </c>
    </row>
    <row r="370" customFormat="false" ht="15" hidden="false" customHeight="false" outlineLevel="0" collapsed="false">
      <c r="A370" s="4" t="n">
        <f aca="false">sisgi!A370</f>
        <v>43133</v>
      </c>
      <c r="B370" s="5" t="str">
        <f aca="false">IFERROR(IF(INDEX(cnpj!$B:$B,MATCH(A370,cnpj!$A:$A,0))="","",INDEX(cnpj!$B:$B,MATCH(A370,cnpj!$A:$A,0))),"")</f>
        <v>02.006.236/0001-60</v>
      </c>
      <c r="C370" s="5" t="str">
        <f aca="false">IF(B370="","",RIGHT("00000000000000"&amp;SUBSTITUTE(SUBSTITUTE(SUBSTITUTE(SUBSTITUTE(B370,".",""),"/",""),"-","")," ",""),14))</f>
        <v>02006236000160</v>
      </c>
      <c r="D370" s="5" t="str">
        <f aca="false">IF(C370="","",MID(C370,1,2)&amp;"."&amp;MID(C370,3,3)&amp;"."&amp;MID(C370,6,3)&amp;"/"&amp;MID(C370,9,4)&amp;"-"&amp;MID(C370,13,2))</f>
        <v>02.006.236/0001-60</v>
      </c>
      <c r="E370" s="4" t="str">
        <f aca="false">IF(ISNA(MATCH(A370,cnpj!$A:$A,0)),"Lotação não existe na aba cnpj",IF(B370="","Sem CNPJ na aba cnpj","OK"))</f>
        <v>OK</v>
      </c>
    </row>
    <row r="371" customFormat="false" ht="15" hidden="false" customHeight="false" outlineLevel="0" collapsed="false">
      <c r="A371" s="4" t="n">
        <f aca="false">sisgi!A371</f>
        <v>44180</v>
      </c>
      <c r="B371" s="5" t="str">
        <f aca="false">IFERROR(IF(INDEX(cnpj!$B:$B,MATCH(A371,cnpj!$A:$A,0))="","",INDEX(cnpj!$B:$B,MATCH(A371,cnpj!$A:$A,0))),"")</f>
        <v>02.232.686/0001-71</v>
      </c>
      <c r="C371" s="5" t="str">
        <f aca="false">IF(B371="","",RIGHT("00000000000000"&amp;SUBSTITUTE(SUBSTITUTE(SUBSTITUTE(SUBSTITUTE(B371,".",""),"/",""),"-","")," ",""),14))</f>
        <v>02232686000171</v>
      </c>
      <c r="D371" s="5" t="str">
        <f aca="false">IF(C371="","",MID(C371,1,2)&amp;"."&amp;MID(C371,3,3)&amp;"."&amp;MID(C371,6,3)&amp;"/"&amp;MID(C371,9,4)&amp;"-"&amp;MID(C371,13,2))</f>
        <v>02.232.686/0001-71</v>
      </c>
      <c r="E371" s="4" t="str">
        <f aca="false">IF(ISNA(MATCH(A371,cnpj!$A:$A,0)),"Lotação não existe na aba cnpj",IF(B371="","Sem CNPJ na aba cnpj","OK"))</f>
        <v>OK</v>
      </c>
    </row>
    <row r="372" customFormat="false" ht="15" hidden="false" customHeight="false" outlineLevel="0" collapsed="false">
      <c r="A372" s="4" t="n">
        <f aca="false">sisgi!A372</f>
        <v>44245</v>
      </c>
      <c r="B372" s="5" t="str">
        <f aca="false">IFERROR(IF(INDEX(cnpj!$B:$B,MATCH(A372,cnpj!$A:$A,0))="","",INDEX(cnpj!$B:$B,MATCH(A372,cnpj!$A:$A,0))),"")</f>
        <v>01.609.145/0001-57</v>
      </c>
      <c r="C372" s="5" t="str">
        <f aca="false">IF(B372="","",RIGHT("00000000000000"&amp;SUBSTITUTE(SUBSTITUTE(SUBSTITUTE(SUBSTITUTE(B372,".",""),"/",""),"-","")," ",""),14))</f>
        <v>01609145000157</v>
      </c>
      <c r="D372" s="5" t="str">
        <f aca="false">IF(C372="","",MID(C372,1,2)&amp;"."&amp;MID(C372,3,3)&amp;"."&amp;MID(C372,6,3)&amp;"/"&amp;MID(C372,9,4)&amp;"-"&amp;MID(C372,13,2))</f>
        <v>01.609.145/0001-57</v>
      </c>
      <c r="E372" s="4" t="str">
        <f aca="false">IF(ISNA(MATCH(A372,cnpj!$A:$A,0)),"Lotação não existe na aba cnpj",IF(B372="","Sem CNPJ na aba cnpj","OK"))</f>
        <v>OK</v>
      </c>
    </row>
    <row r="373" customFormat="false" ht="15" hidden="false" customHeight="false" outlineLevel="0" collapsed="false">
      <c r="A373" s="4" t="n">
        <f aca="false">sisgi!A373</f>
        <v>44253</v>
      </c>
      <c r="B373" s="5" t="str">
        <f aca="false">IFERROR(IF(INDEX(cnpj!$B:$B,MATCH(A373,cnpj!$A:$A,0))="","",INDEX(cnpj!$B:$B,MATCH(A373,cnpj!$A:$A,0))),"")</f>
        <v>02.491.003/0001-09</v>
      </c>
      <c r="C373" s="5" t="str">
        <f aca="false">IF(B373="","",RIGHT("00000000000000"&amp;SUBSTITUTE(SUBSTITUTE(SUBSTITUTE(SUBSTITUTE(B373,".",""),"/",""),"-","")," ",""),14))</f>
        <v>02491003000109</v>
      </c>
      <c r="D373" s="5" t="str">
        <f aca="false">IF(C373="","",MID(C373,1,2)&amp;"."&amp;MID(C373,3,3)&amp;"."&amp;MID(C373,6,3)&amp;"/"&amp;MID(C373,9,4)&amp;"-"&amp;MID(C373,13,2))</f>
        <v>02.491.003/0001-09</v>
      </c>
      <c r="E373" s="4" t="str">
        <f aca="false">IF(ISNA(MATCH(A373,cnpj!$A:$A,0)),"Lotação não existe na aba cnpj",IF(B373="","Sem CNPJ na aba cnpj","OK"))</f>
        <v>OK</v>
      </c>
    </row>
    <row r="374" customFormat="false" ht="15" hidden="false" customHeight="false" outlineLevel="0" collapsed="false">
      <c r="A374" s="4" t="n">
        <f aca="false">sisgi!A374</f>
        <v>44261</v>
      </c>
      <c r="B374" s="5" t="str">
        <f aca="false">IFERROR(IF(INDEX(cnpj!$B:$B,MATCH(A374,cnpj!$A:$A,0))="","",INDEX(cnpj!$B:$B,MATCH(A374,cnpj!$A:$A,0))),"")</f>
        <v>04.515.067/0001-10</v>
      </c>
      <c r="C374" s="5" t="str">
        <f aca="false">IF(B374="","",RIGHT("00000000000000"&amp;SUBSTITUTE(SUBSTITUTE(SUBSTITUTE(SUBSTITUTE(B374,".",""),"/",""),"-","")," ",""),14))</f>
        <v>04515067000110</v>
      </c>
      <c r="D374" s="5" t="str">
        <f aca="false">IF(C374="","",MID(C374,1,2)&amp;"."&amp;MID(C374,3,3)&amp;"."&amp;MID(C374,6,3)&amp;"/"&amp;MID(C374,9,4)&amp;"-"&amp;MID(C374,13,2))</f>
        <v>04.515.067/0001-10</v>
      </c>
      <c r="E374" s="4" t="str">
        <f aca="false">IF(ISNA(MATCH(A374,cnpj!$A:$A,0)),"Lotação não existe na aba cnpj",IF(B374="","Sem CNPJ na aba cnpj","OK"))</f>
        <v>OK</v>
      </c>
    </row>
    <row r="375" customFormat="false" ht="15" hidden="false" customHeight="false" outlineLevel="0" collapsed="false">
      <c r="A375" s="4" t="n">
        <f aca="false">sisgi!A375</f>
        <v>44270</v>
      </c>
      <c r="B375" s="5" t="str">
        <f aca="false">IFERROR(IF(INDEX(cnpj!$B:$B,MATCH(A375,cnpj!$A:$A,0))="","",INDEX(cnpj!$B:$B,MATCH(A375,cnpj!$A:$A,0))),"")</f>
        <v>01.331.559/0001-67</v>
      </c>
      <c r="C375" s="5" t="str">
        <f aca="false">IF(B375="","",RIGHT("00000000000000"&amp;SUBSTITUTE(SUBSTITUTE(SUBSTITUTE(SUBSTITUTE(B375,".",""),"/",""),"-","")," ",""),14))</f>
        <v>01331559000167</v>
      </c>
      <c r="D375" s="5" t="str">
        <f aca="false">IF(C375="","",MID(C375,1,2)&amp;"."&amp;MID(C375,3,3)&amp;"."&amp;MID(C375,6,3)&amp;"/"&amp;MID(C375,9,4)&amp;"-"&amp;MID(C375,13,2))</f>
        <v>01.331.559/0001-67</v>
      </c>
      <c r="E375" s="4" t="str">
        <f aca="false">IF(ISNA(MATCH(A375,cnpj!$A:$A,0)),"Lotação não existe na aba cnpj",IF(B375="","Sem CNPJ na aba cnpj","OK"))</f>
        <v>OK</v>
      </c>
    </row>
    <row r="376" customFormat="false" ht="15" hidden="false" customHeight="false" outlineLevel="0" collapsed="false">
      <c r="A376" s="4" t="n">
        <f aca="false">sisgi!A376</f>
        <v>44938</v>
      </c>
      <c r="B376" s="5" t="str">
        <f aca="false">IFERROR(IF(INDEX(cnpj!$B:$B,MATCH(A376,cnpj!$A:$A,0))="","",INDEX(cnpj!$B:$B,MATCH(A376,cnpj!$A:$A,0))),"")</f>
        <v>03.124.285/0001-60</v>
      </c>
      <c r="C376" s="5" t="str">
        <f aca="false">IF(B376="","",RIGHT("00000000000000"&amp;SUBSTITUTE(SUBSTITUTE(SUBSTITUTE(SUBSTITUTE(B376,".",""),"/",""),"-","")," ",""),14))</f>
        <v>03124285000160</v>
      </c>
      <c r="D376" s="5" t="str">
        <f aca="false">IF(C376="","",MID(C376,1,2)&amp;"."&amp;MID(C376,3,3)&amp;"."&amp;MID(C376,6,3)&amp;"/"&amp;MID(C376,9,4)&amp;"-"&amp;MID(C376,13,2))</f>
        <v>03.124.285/0001-60</v>
      </c>
      <c r="E376" s="4" t="str">
        <f aca="false">IF(ISNA(MATCH(A376,cnpj!$A:$A,0)),"Lotação não existe na aba cnpj",IF(B376="","Sem CNPJ na aba cnpj","OK"))</f>
        <v>OK</v>
      </c>
    </row>
    <row r="377" customFormat="false" ht="15" hidden="false" customHeight="false" outlineLevel="0" collapsed="false">
      <c r="A377" s="4" t="n">
        <f aca="false">sisgi!A377</f>
        <v>44954</v>
      </c>
      <c r="B377" s="5" t="str">
        <f aca="false">IFERROR(IF(INDEX(cnpj!$B:$B,MATCH(A377,cnpj!$A:$A,0))="","",INDEX(cnpj!$B:$B,MATCH(A377,cnpj!$A:$A,0))),"")</f>
        <v>01.581.637/0001-81</v>
      </c>
      <c r="C377" s="5" t="str">
        <f aca="false">IF(B377="","",RIGHT("00000000000000"&amp;SUBSTITUTE(SUBSTITUTE(SUBSTITUTE(SUBSTITUTE(B377,".",""),"/",""),"-","")," ",""),14))</f>
        <v>01581637000181</v>
      </c>
      <c r="D377" s="5" t="str">
        <f aca="false">IF(C377="","",MID(C377,1,2)&amp;"."&amp;MID(C377,3,3)&amp;"."&amp;MID(C377,6,3)&amp;"/"&amp;MID(C377,9,4)&amp;"-"&amp;MID(C377,13,2))</f>
        <v>01.581.637/0001-81</v>
      </c>
      <c r="E377" s="4" t="str">
        <f aca="false">IF(ISNA(MATCH(A377,cnpj!$A:$A,0)),"Lotação não existe na aba cnpj",IF(B377="","Sem CNPJ na aba cnpj","OK"))</f>
        <v>OK</v>
      </c>
    </row>
    <row r="378" customFormat="false" ht="15" hidden="false" customHeight="false" outlineLevel="0" collapsed="false">
      <c r="A378" s="4" t="n">
        <f aca="false">sisgi!A378</f>
        <v>45047</v>
      </c>
      <c r="B378" s="5" t="str">
        <f aca="false">IFERROR(IF(INDEX(cnpj!$B:$B,MATCH(A378,cnpj!$A:$A,0))="","",INDEX(cnpj!$B:$B,MATCH(A378,cnpj!$A:$A,0))),"")</f>
        <v>01.398.610/0001-58</v>
      </c>
      <c r="C378" s="5" t="str">
        <f aca="false">IF(B378="","",RIGHT("00000000000000"&amp;SUBSTITUTE(SUBSTITUTE(SUBSTITUTE(SUBSTITUTE(B378,".",""),"/",""),"-","")," ",""),14))</f>
        <v>01398610000158</v>
      </c>
      <c r="D378" s="5" t="str">
        <f aca="false">IF(C378="","",MID(C378,1,2)&amp;"."&amp;MID(C378,3,3)&amp;"."&amp;MID(C378,6,3)&amp;"/"&amp;MID(C378,9,4)&amp;"-"&amp;MID(C378,13,2))</f>
        <v>01.398.610/0001-58</v>
      </c>
      <c r="E378" s="4" t="str">
        <f aca="false">IF(ISNA(MATCH(A378,cnpj!$A:$A,0)),"Lotação não existe na aba cnpj",IF(B378="","Sem CNPJ na aba cnpj","OK"))</f>
        <v>OK</v>
      </c>
    </row>
    <row r="379" customFormat="false" ht="15" hidden="false" customHeight="false" outlineLevel="0" collapsed="false">
      <c r="A379" s="4" t="n">
        <f aca="false">sisgi!A379</f>
        <v>45055</v>
      </c>
      <c r="B379" s="5" t="str">
        <f aca="false">IFERROR(IF(INDEX(cnpj!$B:$B,MATCH(A379,cnpj!$A:$A,0))="","",INDEX(cnpj!$B:$B,MATCH(A379,cnpj!$A:$A,0))),"")</f>
        <v>02.266.729/0001-30</v>
      </c>
      <c r="C379" s="5" t="str">
        <f aca="false">IF(B379="","",RIGHT("00000000000000"&amp;SUBSTITUTE(SUBSTITUTE(SUBSTITUTE(SUBSTITUTE(B379,".",""),"/",""),"-","")," ",""),14))</f>
        <v>02266729000130</v>
      </c>
      <c r="D379" s="5" t="str">
        <f aca="false">IF(C379="","",MID(C379,1,2)&amp;"."&amp;MID(C379,3,3)&amp;"."&amp;MID(C379,6,3)&amp;"/"&amp;MID(C379,9,4)&amp;"-"&amp;MID(C379,13,2))</f>
        <v>02.266.729/0001-30</v>
      </c>
      <c r="E379" s="4" t="str">
        <f aca="false">IF(ISNA(MATCH(A379,cnpj!$A:$A,0)),"Lotação não existe na aba cnpj",IF(B379="","Sem CNPJ na aba cnpj","OK"))</f>
        <v>OK</v>
      </c>
    </row>
    <row r="380" customFormat="false" ht="15" hidden="false" customHeight="false" outlineLevel="0" collapsed="false">
      <c r="A380" s="4" t="n">
        <f aca="false">sisgi!A380</f>
        <v>45110</v>
      </c>
      <c r="B380" s="5" t="str">
        <f aca="false">IFERROR(IF(INDEX(cnpj!$B:$B,MATCH(A380,cnpj!$A:$A,0))="","",INDEX(cnpj!$B:$B,MATCH(A380,cnpj!$A:$A,0))),"")</f>
        <v>01.657.455/0001-47</v>
      </c>
      <c r="C380" s="5" t="str">
        <f aca="false">IF(B380="","",RIGHT("00000000000000"&amp;SUBSTITUTE(SUBSTITUTE(SUBSTITUTE(SUBSTITUTE(B380,".",""),"/",""),"-","")," ",""),14))</f>
        <v>01657455000147</v>
      </c>
      <c r="D380" s="5" t="str">
        <f aca="false">IF(C380="","",MID(C380,1,2)&amp;"."&amp;MID(C380,3,3)&amp;"."&amp;MID(C380,6,3)&amp;"/"&amp;MID(C380,9,4)&amp;"-"&amp;MID(C380,13,2))</f>
        <v>01.657.455/0001-47</v>
      </c>
      <c r="E380" s="4" t="str">
        <f aca="false">IF(ISNA(MATCH(A380,cnpj!$A:$A,0)),"Lotação não existe na aba cnpj",IF(B380="","Sem CNPJ na aba cnpj","OK"))</f>
        <v>OK</v>
      </c>
    </row>
    <row r="381" customFormat="false" ht="15" hidden="false" customHeight="false" outlineLevel="0" collapsed="false">
      <c r="A381" s="4" t="n">
        <f aca="false">sisgi!A381</f>
        <v>45403</v>
      </c>
      <c r="B381" s="5" t="str">
        <f aca="false">IFERROR(IF(INDEX(cnpj!$B:$B,MATCH(A381,cnpj!$A:$A,0))="","",INDEX(cnpj!$B:$B,MATCH(A381,cnpj!$A:$A,0))),"")</f>
        <v>01.682.900/0001-29</v>
      </c>
      <c r="C381" s="5" t="str">
        <f aca="false">IF(B381="","",RIGHT("00000000000000"&amp;SUBSTITUTE(SUBSTITUTE(SUBSTITUTE(SUBSTITUTE(B381,".",""),"/",""),"-","")," ",""),14))</f>
        <v>01682900000129</v>
      </c>
      <c r="D381" s="5" t="str">
        <f aca="false">IF(C381="","",MID(C381,1,2)&amp;"."&amp;MID(C381,3,3)&amp;"."&amp;MID(C381,6,3)&amp;"/"&amp;MID(C381,9,4)&amp;"-"&amp;MID(C381,13,2))</f>
        <v>01.682.900/0001-29</v>
      </c>
      <c r="E381" s="4" t="str">
        <f aca="false">IF(ISNA(MATCH(A381,cnpj!$A:$A,0)),"Lotação não existe na aba cnpj",IF(B381="","Sem CNPJ na aba cnpj","OK"))</f>
        <v>OK</v>
      </c>
    </row>
    <row r="382" customFormat="false" ht="15" hidden="false" customHeight="false" outlineLevel="0" collapsed="false">
      <c r="A382" s="4" t="n">
        <f aca="false">sisgi!A382</f>
        <v>45829</v>
      </c>
      <c r="B382" s="5" t="str">
        <f aca="false">IFERROR(IF(INDEX(cnpj!$B:$B,MATCH(A382,cnpj!$A:$A,0))="","",INDEX(cnpj!$B:$B,MATCH(A382,cnpj!$A:$A,0))),"")</f>
        <v>02.381.876/0001-50</v>
      </c>
      <c r="C382" s="5" t="str">
        <f aca="false">IF(B382="","",RIGHT("00000000000000"&amp;SUBSTITUTE(SUBSTITUTE(SUBSTITUTE(SUBSTITUTE(B382,".",""),"/",""),"-","")," ",""),14))</f>
        <v>02381876000150</v>
      </c>
      <c r="D382" s="5" t="str">
        <f aca="false">IF(C382="","",MID(C382,1,2)&amp;"."&amp;MID(C382,3,3)&amp;"."&amp;MID(C382,6,3)&amp;"/"&amp;MID(C382,9,4)&amp;"-"&amp;MID(C382,13,2))</f>
        <v>02.381.876/0001-50</v>
      </c>
      <c r="E382" s="4" t="str">
        <f aca="false">IF(ISNA(MATCH(A382,cnpj!$A:$A,0)),"Lotação não existe na aba cnpj",IF(B382="","Sem CNPJ na aba cnpj","OK"))</f>
        <v>OK</v>
      </c>
    </row>
    <row r="383" customFormat="false" ht="15" hidden="false" customHeight="false" outlineLevel="0" collapsed="false">
      <c r="A383" s="4" t="n">
        <f aca="false">sisgi!A383</f>
        <v>46434</v>
      </c>
      <c r="B383" s="5" t="str">
        <f aca="false">IFERROR(IF(INDEX(cnpj!$B:$B,MATCH(A383,cnpj!$A:$A,0))="","",INDEX(cnpj!$B:$B,MATCH(A383,cnpj!$A:$A,0))),"")</f>
        <v>01.348.017/0001-05</v>
      </c>
      <c r="C383" s="5" t="str">
        <f aca="false">IF(B383="","",RIGHT("00000000000000"&amp;SUBSTITUTE(SUBSTITUTE(SUBSTITUTE(SUBSTITUTE(B383,".",""),"/",""),"-","")," ",""),14))</f>
        <v>01348017000105</v>
      </c>
      <c r="D383" s="5" t="str">
        <f aca="false">IF(C383="","",MID(C383,1,2)&amp;"."&amp;MID(C383,3,3)&amp;"."&amp;MID(C383,6,3)&amp;"/"&amp;MID(C383,9,4)&amp;"-"&amp;MID(C383,13,2))</f>
        <v>01.348.017/0001-05</v>
      </c>
      <c r="E383" s="4" t="str">
        <f aca="false">IF(ISNA(MATCH(A383,cnpj!$A:$A,0)),"Lotação não existe na aba cnpj",IF(B383="","Sem CNPJ na aba cnpj","OK"))</f>
        <v>OK</v>
      </c>
    </row>
    <row r="384" customFormat="false" ht="15" hidden="false" customHeight="false" outlineLevel="0" collapsed="false">
      <c r="A384" s="4" t="n">
        <f aca="false">sisgi!A384</f>
        <v>46442</v>
      </c>
      <c r="B384" s="5" t="str">
        <f aca="false">IFERROR(IF(INDEX(cnpj!$B:$B,MATCH(A384,cnpj!$A:$A,0))="","",INDEX(cnpj!$B:$B,MATCH(A384,cnpj!$A:$A,0))),"")</f>
        <v>01.347.957/0001-71</v>
      </c>
      <c r="C384" s="5" t="str">
        <f aca="false">IF(B384="","",RIGHT("00000000000000"&amp;SUBSTITUTE(SUBSTITUTE(SUBSTITUTE(SUBSTITUTE(B384,".",""),"/",""),"-","")," ",""),14))</f>
        <v>01347957000171</v>
      </c>
      <c r="D384" s="5" t="str">
        <f aca="false">IF(C384="","",MID(C384,1,2)&amp;"."&amp;MID(C384,3,3)&amp;"."&amp;MID(C384,6,3)&amp;"/"&amp;MID(C384,9,4)&amp;"-"&amp;MID(C384,13,2))</f>
        <v>01.347.957/0001-71</v>
      </c>
      <c r="E384" s="4" t="str">
        <f aca="false">IF(ISNA(MATCH(A384,cnpj!$A:$A,0)),"Lotação não existe na aba cnpj",IF(B384="","Sem CNPJ na aba cnpj","OK"))</f>
        <v>OK</v>
      </c>
    </row>
    <row r="385" customFormat="false" ht="15" hidden="false" customHeight="false" outlineLevel="0" collapsed="false">
      <c r="A385" s="4" t="n">
        <f aca="false">sisgi!A385</f>
        <v>49549</v>
      </c>
      <c r="B385" s="5" t="str">
        <f aca="false">IFERROR(IF(INDEX(cnpj!$B:$B,MATCH(A385,cnpj!$A:$A,0))="","",INDEX(cnpj!$B:$B,MATCH(A385,cnpj!$A:$A,0))),"")</f>
        <v>02.274.797/0001-40</v>
      </c>
      <c r="C385" s="5" t="str">
        <f aca="false">IF(B385="","",RIGHT("00000000000000"&amp;SUBSTITUTE(SUBSTITUTE(SUBSTITUTE(SUBSTITUTE(B385,".",""),"/",""),"-","")," ",""),14))</f>
        <v>02274797000140</v>
      </c>
      <c r="D385" s="5" t="str">
        <f aca="false">IF(C385="","",MID(C385,1,2)&amp;"."&amp;MID(C385,3,3)&amp;"."&amp;MID(C385,6,3)&amp;"/"&amp;MID(C385,9,4)&amp;"-"&amp;MID(C385,13,2))</f>
        <v>02.274.797/0001-40</v>
      </c>
      <c r="E385" s="4" t="str">
        <f aca="false">IF(ISNA(MATCH(A385,cnpj!$A:$A,0)),"Lotação não existe na aba cnpj",IF(B385="","Sem CNPJ na aba cnpj","OK"))</f>
        <v>OK</v>
      </c>
    </row>
    <row r="386" customFormat="false" ht="15" hidden="false" customHeight="false" outlineLevel="0" collapsed="false">
      <c r="A386" s="4" t="n">
        <f aca="false">sisgi!A386</f>
        <v>49646</v>
      </c>
      <c r="B386" s="5" t="str">
        <f aca="false">IFERROR(IF(INDEX(cnpj!$B:$B,MATCH(A386,cnpj!$A:$A,0))="","",INDEX(cnpj!$B:$B,MATCH(A386,cnpj!$A:$A,0))),"")</f>
        <v>02.531.417/0001-06</v>
      </c>
      <c r="C386" s="5" t="str">
        <f aca="false">IF(B386="","",RIGHT("00000000000000"&amp;SUBSTITUTE(SUBSTITUTE(SUBSTITUTE(SUBSTITUTE(B386,".",""),"/",""),"-","")," ",""),14))</f>
        <v>02531417000106</v>
      </c>
      <c r="D386" s="5" t="str">
        <f aca="false">IF(C386="","",MID(C386,1,2)&amp;"."&amp;MID(C386,3,3)&amp;"."&amp;MID(C386,6,3)&amp;"/"&amp;MID(C386,9,4)&amp;"-"&amp;MID(C386,13,2))</f>
        <v>02.531.417/0001-06</v>
      </c>
      <c r="E386" s="4" t="str">
        <f aca="false">IF(ISNA(MATCH(A386,cnpj!$A:$A,0)),"Lotação não existe na aba cnpj",IF(B386="","Sem CNPJ na aba cnpj","OK"))</f>
        <v>OK</v>
      </c>
    </row>
    <row r="387" customFormat="false" ht="15" hidden="false" customHeight="false" outlineLevel="0" collapsed="false">
      <c r="A387" s="4" t="n">
        <f aca="false">sisgi!A387</f>
        <v>49689</v>
      </c>
      <c r="B387" s="5" t="str">
        <f aca="false">IFERROR(IF(INDEX(cnpj!$B:$B,MATCH(A387,cnpj!$A:$A,0))="","",INDEX(cnpj!$B:$B,MATCH(A387,cnpj!$A:$A,0))),"")</f>
        <v>04.416.000/0001-28</v>
      </c>
      <c r="C387" s="5" t="str">
        <f aca="false">IF(B387="","",RIGHT("00000000000000"&amp;SUBSTITUTE(SUBSTITUTE(SUBSTITUTE(SUBSTITUTE(B387,".",""),"/",""),"-","")," ",""),14))</f>
        <v>04416000000128</v>
      </c>
      <c r="D387" s="5" t="str">
        <f aca="false">IF(C387="","",MID(C387,1,2)&amp;"."&amp;MID(C387,3,3)&amp;"."&amp;MID(C387,6,3)&amp;"/"&amp;MID(C387,9,4)&amp;"-"&amp;MID(C387,13,2))</f>
        <v>04.416.000/0001-28</v>
      </c>
      <c r="E387" s="4" t="str">
        <f aca="false">IF(ISNA(MATCH(A387,cnpj!$A:$A,0)),"Lotação não existe na aba cnpj",IF(B387="","Sem CNPJ na aba cnpj","OK"))</f>
        <v>OK</v>
      </c>
    </row>
    <row r="388" customFormat="false" ht="15" hidden="false" customHeight="false" outlineLevel="0" collapsed="false">
      <c r="A388" s="4" t="n">
        <f aca="false">sisgi!A388</f>
        <v>49786</v>
      </c>
      <c r="B388" s="5" t="str">
        <f aca="false">IFERROR(IF(INDEX(cnpj!$B:$B,MATCH(A388,cnpj!$A:$A,0))="","",INDEX(cnpj!$B:$B,MATCH(A388,cnpj!$A:$A,0))),"")</f>
        <v>03.157.984/0001-07</v>
      </c>
      <c r="C388" s="5" t="str">
        <f aca="false">IF(B388="","",RIGHT("00000000000000"&amp;SUBSTITUTE(SUBSTITUTE(SUBSTITUTE(SUBSTITUTE(B388,".",""),"/",""),"-","")," ",""),14))</f>
        <v>03157984000107</v>
      </c>
      <c r="D388" s="5" t="str">
        <f aca="false">IF(C388="","",MID(C388,1,2)&amp;"."&amp;MID(C388,3,3)&amp;"."&amp;MID(C388,6,3)&amp;"/"&amp;MID(C388,9,4)&amp;"-"&amp;MID(C388,13,2))</f>
        <v>03.157.984/0001-07</v>
      </c>
      <c r="E388" s="4" t="str">
        <f aca="false">IF(ISNA(MATCH(A388,cnpj!$A:$A,0)),"Lotação não existe na aba cnpj",IF(B388="","Sem CNPJ na aba cnpj","OK"))</f>
        <v>OK</v>
      </c>
    </row>
    <row r="389" customFormat="false" ht="15" hidden="false" customHeight="false" outlineLevel="0" collapsed="false">
      <c r="A389" s="4" t="n">
        <f aca="false">sisgi!A389</f>
        <v>49794</v>
      </c>
      <c r="B389" s="5" t="str">
        <f aca="false">IFERROR(IF(INDEX(cnpj!$B:$B,MATCH(A389,cnpj!$A:$A,0))="","",INDEX(cnpj!$B:$B,MATCH(A389,cnpj!$A:$A,0))),"")</f>
        <v>02.516.337/0001-81</v>
      </c>
      <c r="C389" s="5" t="str">
        <f aca="false">IF(B389="","",RIGHT("00000000000000"&amp;SUBSTITUTE(SUBSTITUTE(SUBSTITUTE(SUBSTITUTE(B389,".",""),"/",""),"-","")," ",""),14))</f>
        <v>02516337000181</v>
      </c>
      <c r="D389" s="5" t="str">
        <f aca="false">IF(C389="","",MID(C389,1,2)&amp;"."&amp;MID(C389,3,3)&amp;"."&amp;MID(C389,6,3)&amp;"/"&amp;MID(C389,9,4)&amp;"-"&amp;MID(C389,13,2))</f>
        <v>02.516.337/0001-81</v>
      </c>
      <c r="E389" s="4" t="str">
        <f aca="false">IF(ISNA(MATCH(A389,cnpj!$A:$A,0)),"Lotação não existe na aba cnpj",IF(B389="","Sem CNPJ na aba cnpj","OK"))</f>
        <v>OK</v>
      </c>
    </row>
    <row r="390" customFormat="false" ht="15" hidden="false" customHeight="false" outlineLevel="0" collapsed="false">
      <c r="A390" s="4" t="n">
        <f aca="false">sisgi!A390</f>
        <v>49832</v>
      </c>
      <c r="B390" s="5" t="str">
        <f aca="false">IFERROR(IF(INDEX(cnpj!$B:$B,MATCH(A390,cnpj!$A:$A,0))="","",INDEX(cnpj!$B:$B,MATCH(A390,cnpj!$A:$A,0))),"")</f>
        <v>03.777.535/0001-61</v>
      </c>
      <c r="C390" s="5" t="str">
        <f aca="false">IF(B390="","",RIGHT("00000000000000"&amp;SUBSTITUTE(SUBSTITUTE(SUBSTITUTE(SUBSTITUTE(B390,".",""),"/",""),"-","")," ",""),14))</f>
        <v>03777535000161</v>
      </c>
      <c r="D390" s="5" t="str">
        <f aca="false">IF(C390="","",MID(C390,1,2)&amp;"."&amp;MID(C390,3,3)&amp;"."&amp;MID(C390,6,3)&amp;"/"&amp;MID(C390,9,4)&amp;"-"&amp;MID(C390,13,2))</f>
        <v>03.777.535/0001-61</v>
      </c>
      <c r="E390" s="4" t="str">
        <f aca="false">IF(ISNA(MATCH(A390,cnpj!$A:$A,0)),"Lotação não existe na aba cnpj",IF(B390="","Sem CNPJ na aba cnpj","OK"))</f>
        <v>OK</v>
      </c>
    </row>
    <row r="391" customFormat="false" ht="15" hidden="false" customHeight="false" outlineLevel="0" collapsed="false">
      <c r="A391" s="4" t="n">
        <f aca="false">sisgi!A391</f>
        <v>49859</v>
      </c>
      <c r="B391" s="5" t="str">
        <f aca="false">IFERROR(IF(INDEX(cnpj!$B:$B,MATCH(A391,cnpj!$A:$A,0))="","",INDEX(cnpj!$B:$B,MATCH(A391,cnpj!$A:$A,0))),"")</f>
        <v>03.030.098/0001-18</v>
      </c>
      <c r="C391" s="5" t="str">
        <f aca="false">IF(B391="","",RIGHT("00000000000000"&amp;SUBSTITUTE(SUBSTITUTE(SUBSTITUTE(SUBSTITUTE(B391,".",""),"/",""),"-","")," ",""),14))</f>
        <v>03030098000118</v>
      </c>
      <c r="D391" s="5" t="str">
        <f aca="false">IF(C391="","",MID(C391,1,2)&amp;"."&amp;MID(C391,3,3)&amp;"."&amp;MID(C391,6,3)&amp;"/"&amp;MID(C391,9,4)&amp;"-"&amp;MID(C391,13,2))</f>
        <v>03.030.098/0001-18</v>
      </c>
      <c r="E391" s="4" t="str">
        <f aca="false">IF(ISNA(MATCH(A391,cnpj!$A:$A,0)),"Lotação não existe na aba cnpj",IF(B391="","Sem CNPJ na aba cnpj","OK"))</f>
        <v>OK</v>
      </c>
    </row>
    <row r="392" customFormat="false" ht="15" hidden="false" customHeight="false" outlineLevel="0" collapsed="false">
      <c r="A392" s="4" t="n">
        <f aca="false">sisgi!A392</f>
        <v>49875</v>
      </c>
      <c r="B392" s="5" t="str">
        <f aca="false">IFERROR(IF(INDEX(cnpj!$B:$B,MATCH(A392,cnpj!$A:$A,0))="","",INDEX(cnpj!$B:$B,MATCH(A392,cnpj!$A:$A,0))),"")</f>
        <v>03.222.380/0001-05</v>
      </c>
      <c r="C392" s="5" t="str">
        <f aca="false">IF(B392="","",RIGHT("00000000000000"&amp;SUBSTITUTE(SUBSTITUTE(SUBSTITUTE(SUBSTITUTE(B392,".",""),"/",""),"-","")," ",""),14))</f>
        <v>03222380000105</v>
      </c>
      <c r="D392" s="5" t="str">
        <f aca="false">IF(C392="","",MID(C392,1,2)&amp;"."&amp;MID(C392,3,3)&amp;"."&amp;MID(C392,6,3)&amp;"/"&amp;MID(C392,9,4)&amp;"-"&amp;MID(C392,13,2))</f>
        <v>03.222.380/0001-05</v>
      </c>
      <c r="E392" s="4" t="str">
        <f aca="false">IF(ISNA(MATCH(A392,cnpj!$A:$A,0)),"Lotação não existe na aba cnpj",IF(B392="","Sem CNPJ na aba cnpj","OK"))</f>
        <v>OK</v>
      </c>
    </row>
    <row r="393" customFormat="false" ht="15" hidden="false" customHeight="false" outlineLevel="0" collapsed="false">
      <c r="A393" s="4" t="n">
        <f aca="false">sisgi!A393</f>
        <v>49883</v>
      </c>
      <c r="B393" s="5" t="str">
        <f aca="false">IFERROR(IF(INDEX(cnpj!$B:$B,MATCH(A393,cnpj!$A:$A,0))="","",INDEX(cnpj!$B:$B,MATCH(A393,cnpj!$A:$A,0))),"")</f>
        <v>03.789.998/0001-43</v>
      </c>
      <c r="C393" s="5" t="str">
        <f aca="false">IF(B393="","",RIGHT("00000000000000"&amp;SUBSTITUTE(SUBSTITUTE(SUBSTITUTE(SUBSTITUTE(B393,".",""),"/",""),"-","")," ",""),14))</f>
        <v>03789998000143</v>
      </c>
      <c r="D393" s="5" t="str">
        <f aca="false">IF(C393="","",MID(C393,1,2)&amp;"."&amp;MID(C393,3,3)&amp;"."&amp;MID(C393,6,3)&amp;"/"&amp;MID(C393,9,4)&amp;"-"&amp;MID(C393,13,2))</f>
        <v>03.789.998/0001-43</v>
      </c>
      <c r="E393" s="4" t="str">
        <f aca="false">IF(ISNA(MATCH(A393,cnpj!$A:$A,0)),"Lotação não existe na aba cnpj",IF(B393="","Sem CNPJ na aba cnpj","OK"))</f>
        <v>OK</v>
      </c>
    </row>
    <row r="394" customFormat="false" ht="15" hidden="false" customHeight="false" outlineLevel="0" collapsed="false">
      <c r="A394" s="4" t="n">
        <f aca="false">sisgi!A394</f>
        <v>49964</v>
      </c>
      <c r="B394" s="5" t="str">
        <f aca="false">IFERROR(IF(INDEX(cnpj!$B:$B,MATCH(A394,cnpj!$A:$A,0))="","",INDEX(cnpj!$B:$B,MATCH(A394,cnpj!$A:$A,0))),"")</f>
        <v>24.772.303/0001-90</v>
      </c>
      <c r="C394" s="5" t="str">
        <f aca="false">IF(B394="","",RIGHT("00000000000000"&amp;SUBSTITUTE(SUBSTITUTE(SUBSTITUTE(SUBSTITUTE(B394,".",""),"/",""),"-","")," ",""),14))</f>
        <v>24772303000190</v>
      </c>
      <c r="D394" s="5" t="str">
        <f aca="false">IF(C394="","",MID(C394,1,2)&amp;"."&amp;MID(C394,3,3)&amp;"."&amp;MID(C394,6,3)&amp;"/"&amp;MID(C394,9,4)&amp;"-"&amp;MID(C394,13,2))</f>
        <v>24.772.303/0001-90</v>
      </c>
      <c r="E394" s="4" t="str">
        <f aca="false">IF(ISNA(MATCH(A394,cnpj!$A:$A,0)),"Lotação não existe na aba cnpj",IF(B394="","Sem CNPJ na aba cnpj","OK"))</f>
        <v>OK</v>
      </c>
    </row>
    <row r="395" customFormat="false" ht="15" hidden="false" customHeight="false" outlineLevel="0" collapsed="false">
      <c r="A395" s="4" t="n">
        <f aca="false">sisgi!A395</f>
        <v>60194</v>
      </c>
      <c r="B395" s="5" t="str">
        <f aca="false">IFERROR(IF(INDEX(cnpj!$B:$B,MATCH(A395,cnpj!$A:$A,0))="","",INDEX(cnpj!$B:$B,MATCH(A395,cnpj!$A:$A,0))),"")</f>
        <v>03.733.475/0001-85</v>
      </c>
      <c r="C395" s="5" t="str">
        <f aca="false">IF(B395="","",RIGHT("00000000000000"&amp;SUBSTITUTE(SUBSTITUTE(SUBSTITUTE(SUBSTITUTE(B395,".",""),"/",""),"-","")," ",""),14))</f>
        <v>03733475000185</v>
      </c>
      <c r="D395" s="5" t="str">
        <f aca="false">IF(C395="","",MID(C395,1,2)&amp;"."&amp;MID(C395,3,3)&amp;"."&amp;MID(C395,6,3)&amp;"/"&amp;MID(C395,9,4)&amp;"-"&amp;MID(C395,13,2))</f>
        <v>03.733.475/0001-85</v>
      </c>
      <c r="E395" s="4" t="str">
        <f aca="false">IF(ISNA(MATCH(A395,cnpj!$A:$A,0)),"Lotação não existe na aba cnpj",IF(B395="","Sem CNPJ na aba cnpj","OK"))</f>
        <v>OK</v>
      </c>
    </row>
    <row r="396" customFormat="false" ht="15" hidden="false" customHeight="false" outlineLevel="0" collapsed="false">
      <c r="A396" s="4" t="n">
        <f aca="false">sisgi!A396</f>
        <v>60208</v>
      </c>
      <c r="B396" s="5" t="str">
        <f aca="false">IFERROR(IF(INDEX(cnpj!$B:$B,MATCH(A396,cnpj!$A:$A,0))="","",INDEX(cnpj!$B:$B,MATCH(A396,cnpj!$A:$A,0))),"")</f>
        <v>03.821.795/0001-97</v>
      </c>
      <c r="C396" s="5" t="str">
        <f aca="false">IF(B396="","",RIGHT("00000000000000"&amp;SUBSTITUTE(SUBSTITUTE(SUBSTITUTE(SUBSTITUTE(B396,".",""),"/",""),"-","")," ",""),14))</f>
        <v>03821795000197</v>
      </c>
      <c r="D396" s="5" t="str">
        <f aca="false">IF(C396="","",MID(C396,1,2)&amp;"."&amp;MID(C396,3,3)&amp;"."&amp;MID(C396,6,3)&amp;"/"&amp;MID(C396,9,4)&amp;"-"&amp;MID(C396,13,2))</f>
        <v>03.821.795/0001-97</v>
      </c>
      <c r="E396" s="4" t="str">
        <f aca="false">IF(ISNA(MATCH(A396,cnpj!$A:$A,0)),"Lotação não existe na aba cnpj",IF(B396="","Sem CNPJ na aba cnpj","OK"))</f>
        <v>OK</v>
      </c>
    </row>
    <row r="397" customFormat="false" ht="15" hidden="false" customHeight="false" outlineLevel="0" collapsed="false">
      <c r="A397" s="4" t="n">
        <f aca="false">sisgi!A397</f>
        <v>60224</v>
      </c>
      <c r="B397" s="5" t="str">
        <f aca="false">IFERROR(IF(INDEX(cnpj!$B:$B,MATCH(A397,cnpj!$A:$A,0))="","",INDEX(cnpj!$B:$B,MATCH(A397,cnpj!$A:$A,0))),"")</f>
        <v>04.261.844/0001-47</v>
      </c>
      <c r="C397" s="5" t="str">
        <f aca="false">IF(B397="","",RIGHT("00000000000000"&amp;SUBSTITUTE(SUBSTITUTE(SUBSTITUTE(SUBSTITUTE(B397,".",""),"/",""),"-","")," ",""),14))</f>
        <v>04261844000147</v>
      </c>
      <c r="D397" s="5" t="str">
        <f aca="false">IF(C397="","",MID(C397,1,2)&amp;"."&amp;MID(C397,3,3)&amp;"."&amp;MID(C397,6,3)&amp;"/"&amp;MID(C397,9,4)&amp;"-"&amp;MID(C397,13,2))</f>
        <v>04.261.844/0001-47</v>
      </c>
      <c r="E397" s="4" t="str">
        <f aca="false">IF(ISNA(MATCH(A397,cnpj!$A:$A,0)),"Lotação não existe na aba cnpj",IF(B397="","Sem CNPJ na aba cnpj","OK"))</f>
        <v>OK</v>
      </c>
    </row>
    <row r="398" customFormat="false" ht="15" hidden="false" customHeight="false" outlineLevel="0" collapsed="false">
      <c r="A398" s="4" t="n">
        <f aca="false">sisgi!A398</f>
        <v>61298</v>
      </c>
      <c r="B398" s="5" t="str">
        <f aca="false">IFERROR(IF(INDEX(cnpj!$B:$B,MATCH(A398,cnpj!$A:$A,0))="","",INDEX(cnpj!$B:$B,MATCH(A398,cnpj!$A:$A,0))),"")</f>
        <v>03.997.506/0001-05</v>
      </c>
      <c r="C398" s="5" t="str">
        <f aca="false">IF(B398="","",RIGHT("00000000000000"&amp;SUBSTITUTE(SUBSTITUTE(SUBSTITUTE(SUBSTITUTE(B398,".",""),"/",""),"-","")," ",""),14))</f>
        <v>03997506000105</v>
      </c>
      <c r="D398" s="5" t="str">
        <f aca="false">IF(C398="","",MID(C398,1,2)&amp;"."&amp;MID(C398,3,3)&amp;"."&amp;MID(C398,6,3)&amp;"/"&amp;MID(C398,9,4)&amp;"-"&amp;MID(C398,13,2))</f>
        <v>03.997.506/0001-05</v>
      </c>
      <c r="E398" s="4" t="str">
        <f aca="false">IF(ISNA(MATCH(A398,cnpj!$A:$A,0)),"Lotação não existe na aba cnpj",IF(B398="","Sem CNPJ na aba cnpj","OK"))</f>
        <v>OK</v>
      </c>
    </row>
    <row r="399" customFormat="false" ht="15" hidden="false" customHeight="false" outlineLevel="0" collapsed="false">
      <c r="A399" s="4" t="n">
        <f aca="false">sisgi!A399</f>
        <v>61441</v>
      </c>
      <c r="B399" s="5" t="str">
        <f aca="false">IFERROR(IF(INDEX(cnpj!$B:$B,MATCH(A399,cnpj!$A:$A,0))="","",INDEX(cnpj!$B:$B,MATCH(A399,cnpj!$A:$A,0))),"")</f>
        <v>04.423.498/0001-56</v>
      </c>
      <c r="C399" s="5" t="str">
        <f aca="false">IF(B399="","",RIGHT("00000000000000"&amp;SUBSTITUTE(SUBSTITUTE(SUBSTITUTE(SUBSTITUTE(B399,".",""),"/",""),"-","")," ",""),14))</f>
        <v>04423498000156</v>
      </c>
      <c r="D399" s="5" t="str">
        <f aca="false">IF(C399="","",MID(C399,1,2)&amp;"."&amp;MID(C399,3,3)&amp;"."&amp;MID(C399,6,3)&amp;"/"&amp;MID(C399,9,4)&amp;"-"&amp;MID(C399,13,2))</f>
        <v>04.423.498/0001-56</v>
      </c>
      <c r="E399" s="4" t="str">
        <f aca="false">IF(ISNA(MATCH(A399,cnpj!$A:$A,0)),"Lotação não existe na aba cnpj",IF(B399="","Sem CNPJ na aba cnpj","OK"))</f>
        <v>OK</v>
      </c>
    </row>
    <row r="400" customFormat="false" ht="15" hidden="false" customHeight="false" outlineLevel="0" collapsed="false">
      <c r="A400" s="4" t="n">
        <f aca="false">sisgi!A400</f>
        <v>64149</v>
      </c>
      <c r="B400" s="5" t="str">
        <f aca="false">IFERROR(IF(INDEX(cnpj!$B:$B,MATCH(A400,cnpj!$A:$A,0))="","",INDEX(cnpj!$B:$B,MATCH(A400,cnpj!$A:$A,0))),"")</f>
        <v>05.556.335/0001-04</v>
      </c>
      <c r="C400" s="5" t="str">
        <f aca="false">IF(B400="","",RIGHT("00000000000000"&amp;SUBSTITUTE(SUBSTITUTE(SUBSTITUTE(SUBSTITUTE(B400,".",""),"/",""),"-","")," ",""),14))</f>
        <v>05556335000104</v>
      </c>
      <c r="D400" s="5" t="str">
        <f aca="false">IF(C400="","",MID(C400,1,2)&amp;"."&amp;MID(C400,3,3)&amp;"."&amp;MID(C400,6,3)&amp;"/"&amp;MID(C400,9,4)&amp;"-"&amp;MID(C400,13,2))</f>
        <v>05.556.335/0001-04</v>
      </c>
      <c r="E400" s="4" t="str">
        <f aca="false">IF(ISNA(MATCH(A400,cnpj!$A:$A,0)),"Lotação não existe na aba cnpj",IF(B400="","Sem CNPJ na aba cnpj","OK"))</f>
        <v>OK</v>
      </c>
    </row>
    <row r="401" customFormat="false" ht="15" hidden="false" customHeight="false" outlineLevel="0" collapsed="false">
      <c r="A401" s="4" t="n">
        <f aca="false">sisgi!A401</f>
        <v>65498</v>
      </c>
      <c r="B401" s="5" t="str">
        <f aca="false">IFERROR(IF(INDEX(cnpj!$B:$B,MATCH(A401,cnpj!$A:$A,0))="","",INDEX(cnpj!$B:$B,MATCH(A401,cnpj!$A:$A,0))),"")</f>
        <v>02.964.509/0001-80</v>
      </c>
      <c r="C401" s="5" t="str">
        <f aca="false">IF(B401="","",RIGHT("00000000000000"&amp;SUBSTITUTE(SUBSTITUTE(SUBSTITUTE(SUBSTITUTE(B401,".",""),"/",""),"-","")," ",""),14))</f>
        <v>02964509000180</v>
      </c>
      <c r="D401" s="5" t="str">
        <f aca="false">IF(C401="","",MID(C401,1,2)&amp;"."&amp;MID(C401,3,3)&amp;"."&amp;MID(C401,6,3)&amp;"/"&amp;MID(C401,9,4)&amp;"-"&amp;MID(C401,13,2))</f>
        <v>02.964.509/0001-80</v>
      </c>
      <c r="E401" s="4" t="str">
        <f aca="false">IF(ISNA(MATCH(A401,cnpj!$A:$A,0)),"Lotação não existe na aba cnpj",IF(B401="","Sem CNPJ na aba cnpj","OK"))</f>
        <v>OK</v>
      </c>
    </row>
    <row r="402" customFormat="false" ht="15" hidden="false" customHeight="false" outlineLevel="0" collapsed="false">
      <c r="A402" s="4" t="n">
        <f aca="false">sisgi!A402</f>
        <v>65587</v>
      </c>
      <c r="B402" s="5" t="str">
        <f aca="false">IFERROR(IF(INDEX(cnpj!$B:$B,MATCH(A402,cnpj!$A:$A,0))="","",INDEX(cnpj!$B:$B,MATCH(A402,cnpj!$A:$A,0))),"")</f>
        <v>04.362.892/0001-21</v>
      </c>
      <c r="C402" s="5" t="str">
        <f aca="false">IF(B402="","",RIGHT("00000000000000"&amp;SUBSTITUTE(SUBSTITUTE(SUBSTITUTE(SUBSTITUTE(B402,".",""),"/",""),"-","")," ",""),14))</f>
        <v>04362892000121</v>
      </c>
      <c r="D402" s="5" t="str">
        <f aca="false">IF(C402="","",MID(C402,1,2)&amp;"."&amp;MID(C402,3,3)&amp;"."&amp;MID(C402,6,3)&amp;"/"&amp;MID(C402,9,4)&amp;"-"&amp;MID(C402,13,2))</f>
        <v>04.362.892/0001-21</v>
      </c>
      <c r="E402" s="4" t="str">
        <f aca="false">IF(ISNA(MATCH(A402,cnpj!$A:$A,0)),"Lotação não existe na aba cnpj",IF(B402="","Sem CNPJ na aba cnpj","OK"))</f>
        <v>OK</v>
      </c>
    </row>
    <row r="403" customFormat="false" ht="15" hidden="false" customHeight="false" outlineLevel="0" collapsed="false">
      <c r="A403" s="4" t="n">
        <f aca="false">sisgi!A403</f>
        <v>68713</v>
      </c>
      <c r="B403" s="5" t="str">
        <f aca="false">IFERROR(IF(INDEX(cnpj!$B:$B,MATCH(A403,cnpj!$A:$A,0))="","",INDEX(cnpj!$B:$B,MATCH(A403,cnpj!$A:$A,0))),"")</f>
        <v>03.145.488/0001-33</v>
      </c>
      <c r="C403" s="5" t="str">
        <f aca="false">IF(B403="","",RIGHT("00000000000000"&amp;SUBSTITUTE(SUBSTITUTE(SUBSTITUTE(SUBSTITUTE(B403,".",""),"/",""),"-","")," ",""),14))</f>
        <v>03145488000133</v>
      </c>
      <c r="D403" s="5" t="str">
        <f aca="false">IF(C403="","",MID(C403,1,2)&amp;"."&amp;MID(C403,3,3)&amp;"."&amp;MID(C403,6,3)&amp;"/"&amp;MID(C403,9,4)&amp;"-"&amp;MID(C403,13,2))</f>
        <v>03.145.488/0001-33</v>
      </c>
      <c r="E403" s="4" t="str">
        <f aca="false">IF(ISNA(MATCH(A403,cnpj!$A:$A,0)),"Lotação não existe na aba cnpj",IF(B403="","Sem CNPJ na aba cnpj","OK"))</f>
        <v>OK</v>
      </c>
    </row>
    <row r="404" customFormat="false" ht="15" hidden="false" customHeight="false" outlineLevel="0" collapsed="false">
      <c r="A404" s="4" t="n">
        <f aca="false">sisgi!A404</f>
        <v>69140</v>
      </c>
      <c r="B404" s="5" t="str">
        <f aca="false">IFERROR(IF(INDEX(cnpj!$B:$B,MATCH(A404,cnpj!$A:$A,0))="","",INDEX(cnpj!$B:$B,MATCH(A404,cnpj!$A:$A,0))),"")</f>
        <v>06.308.564/0001-72</v>
      </c>
      <c r="C404" s="5" t="str">
        <f aca="false">IF(B404="","",RIGHT("00000000000000"&amp;SUBSTITUTE(SUBSTITUTE(SUBSTITUTE(SUBSTITUTE(B404,".",""),"/",""),"-","")," ",""),14))</f>
        <v>06308564000172</v>
      </c>
      <c r="D404" s="5" t="str">
        <f aca="false">IF(C404="","",MID(C404,1,2)&amp;"."&amp;MID(C404,3,3)&amp;"."&amp;MID(C404,6,3)&amp;"/"&amp;MID(C404,9,4)&amp;"-"&amp;MID(C404,13,2))</f>
        <v>06.308.564/0001-72</v>
      </c>
      <c r="E404" s="4" t="str">
        <f aca="false">IF(ISNA(MATCH(A404,cnpj!$A:$A,0)),"Lotação não existe na aba cnpj",IF(B404="","Sem CNPJ na aba cnpj","OK"))</f>
        <v>OK</v>
      </c>
    </row>
    <row r="405" customFormat="false" ht="15" hidden="false" customHeight="false" outlineLevel="0" collapsed="false">
      <c r="A405" s="4" t="n">
        <f aca="false">sisgi!A405</f>
        <v>69205</v>
      </c>
      <c r="B405" s="5" t="str">
        <f aca="false">IFERROR(IF(INDEX(cnpj!$B:$B,MATCH(A405,cnpj!$A:$A,0))="","",INDEX(cnpj!$B:$B,MATCH(A405,cnpj!$A:$A,0))),"")</f>
        <v>05.729.076/0001-76</v>
      </c>
      <c r="C405" s="5" t="str">
        <f aca="false">IF(B405="","",RIGHT("00000000000000"&amp;SUBSTITUTE(SUBSTITUTE(SUBSTITUTE(SUBSTITUTE(B405,".",""),"/",""),"-","")," ",""),14))</f>
        <v>05729076000176</v>
      </c>
      <c r="D405" s="5" t="str">
        <f aca="false">IF(C405="","",MID(C405,1,2)&amp;"."&amp;MID(C405,3,3)&amp;"."&amp;MID(C405,6,3)&amp;"/"&amp;MID(C405,9,4)&amp;"-"&amp;MID(C405,13,2))</f>
        <v>05.729.076/0001-76</v>
      </c>
      <c r="E405" s="4" t="str">
        <f aca="false">IF(ISNA(MATCH(A405,cnpj!$A:$A,0)),"Lotação não existe na aba cnpj",IF(B405="","Sem CNPJ na aba cnpj","OK"))</f>
        <v>OK</v>
      </c>
    </row>
    <row r="406" customFormat="false" ht="15" hidden="false" customHeight="false" outlineLevel="0" collapsed="false">
      <c r="A406" s="4" t="n">
        <f aca="false">sisgi!A406</f>
        <v>69230</v>
      </c>
      <c r="B406" s="5" t="str">
        <f aca="false">IFERROR(IF(INDEX(cnpj!$B:$B,MATCH(A406,cnpj!$A:$A,0))="","",INDEX(cnpj!$B:$B,MATCH(A406,cnpj!$A:$A,0))),"")</f>
        <v>10.848.763/0001-40</v>
      </c>
      <c r="C406" s="5" t="str">
        <f aca="false">IF(B406="","",RIGHT("00000000000000"&amp;SUBSTITUTE(SUBSTITUTE(SUBSTITUTE(SUBSTITUTE(B406,".",""),"/",""),"-","")," ",""),14))</f>
        <v>10848763000140</v>
      </c>
      <c r="D406" s="5" t="str">
        <f aca="false">IF(C406="","",MID(C406,1,2)&amp;"."&amp;MID(C406,3,3)&amp;"."&amp;MID(C406,6,3)&amp;"/"&amp;MID(C406,9,4)&amp;"-"&amp;MID(C406,13,2))</f>
        <v>10.848.763/0001-40</v>
      </c>
      <c r="E406" s="4" t="str">
        <f aca="false">IF(ISNA(MATCH(A406,cnpj!$A:$A,0)),"Lotação não existe na aba cnpj",IF(B406="","Sem CNPJ na aba cnpj","OK"))</f>
        <v>OK</v>
      </c>
    </row>
    <row r="407" customFormat="false" ht="15" hidden="false" customHeight="false" outlineLevel="0" collapsed="false">
      <c r="A407" s="4" t="n">
        <f aca="false">sisgi!A407</f>
        <v>69264</v>
      </c>
      <c r="B407" s="5" t="str">
        <f aca="false">IFERROR(IF(INDEX(cnpj!$B:$B,MATCH(A407,cnpj!$A:$A,0))="","",INDEX(cnpj!$B:$B,MATCH(A407,cnpj!$A:$A,0))),"")</f>
        <v>05.255.116/0001-95</v>
      </c>
      <c r="C407" s="5" t="str">
        <f aca="false">IF(B407="","",RIGHT("00000000000000"&amp;SUBSTITUTE(SUBSTITUTE(SUBSTITUTE(SUBSTITUTE(B407,".",""),"/",""),"-","")," ",""),14))</f>
        <v>05255116000195</v>
      </c>
      <c r="D407" s="5" t="str">
        <f aca="false">IF(C407="","",MID(C407,1,2)&amp;"."&amp;MID(C407,3,3)&amp;"."&amp;MID(C407,6,3)&amp;"/"&amp;MID(C407,9,4)&amp;"-"&amp;MID(C407,13,2))</f>
        <v>05.255.116/0001-95</v>
      </c>
      <c r="E407" s="4" t="str">
        <f aca="false">IF(ISNA(MATCH(A407,cnpj!$A:$A,0)),"Lotação não existe na aba cnpj",IF(B407="","Sem CNPJ na aba cnpj","OK"))</f>
        <v>OK</v>
      </c>
    </row>
    <row r="408" customFormat="false" ht="15" hidden="false" customHeight="false" outlineLevel="0" collapsed="false">
      <c r="A408" s="4" t="n">
        <f aca="false">sisgi!A408</f>
        <v>69280</v>
      </c>
      <c r="B408" s="5" t="str">
        <f aca="false">IFERROR(IF(INDEX(cnpj!$B:$B,MATCH(A408,cnpj!$A:$A,0))="","",INDEX(cnpj!$B:$B,MATCH(A408,cnpj!$A:$A,0))),"")</f>
        <v>03.267.735/0001-74</v>
      </c>
      <c r="C408" s="5" t="str">
        <f aca="false">IF(B408="","",RIGHT("00000000000000"&amp;SUBSTITUTE(SUBSTITUTE(SUBSTITUTE(SUBSTITUTE(B408,".",""),"/",""),"-","")," ",""),14))</f>
        <v>03267735000174</v>
      </c>
      <c r="D408" s="5" t="str">
        <f aca="false">IF(C408="","",MID(C408,1,2)&amp;"."&amp;MID(C408,3,3)&amp;"."&amp;MID(C408,6,3)&amp;"/"&amp;MID(C408,9,4)&amp;"-"&amp;MID(C408,13,2))</f>
        <v>03.267.735/0001-74</v>
      </c>
      <c r="E408" s="4" t="str">
        <f aca="false">IF(ISNA(MATCH(A408,cnpj!$A:$A,0)),"Lotação não existe na aba cnpj",IF(B408="","Sem CNPJ na aba cnpj","OK"))</f>
        <v>OK</v>
      </c>
    </row>
    <row r="409" customFormat="false" ht="15" hidden="false" customHeight="false" outlineLevel="0" collapsed="false">
      <c r="A409" s="4" t="n">
        <f aca="false">sisgi!A409</f>
        <v>69299</v>
      </c>
      <c r="B409" s="5" t="str">
        <f aca="false">IFERROR(IF(INDEX(cnpj!$B:$B,MATCH(A409,cnpj!$A:$A,0))="","",INDEX(cnpj!$B:$B,MATCH(A409,cnpj!$A:$A,0))),"")</f>
        <v>03.267.732/0001-30</v>
      </c>
      <c r="C409" s="5" t="str">
        <f aca="false">IF(B409="","",RIGHT("00000000000000"&amp;SUBSTITUTE(SUBSTITUTE(SUBSTITUTE(SUBSTITUTE(B409,".",""),"/",""),"-","")," ",""),14))</f>
        <v>03267732000130</v>
      </c>
      <c r="D409" s="5" t="str">
        <f aca="false">IF(C409="","",MID(C409,1,2)&amp;"."&amp;MID(C409,3,3)&amp;"."&amp;MID(C409,6,3)&amp;"/"&amp;MID(C409,9,4)&amp;"-"&amp;MID(C409,13,2))</f>
        <v>03.267.732/0001-30</v>
      </c>
      <c r="E409" s="4" t="str">
        <f aca="false">IF(ISNA(MATCH(A409,cnpj!$A:$A,0)),"Lotação não existe na aba cnpj",IF(B409="","Sem CNPJ na aba cnpj","OK"))</f>
        <v>OK</v>
      </c>
    </row>
    <row r="410" customFormat="false" ht="15" hidden="false" customHeight="false" outlineLevel="0" collapsed="false">
      <c r="A410" s="4" t="n">
        <f aca="false">sisgi!A410</f>
        <v>69302</v>
      </c>
      <c r="B410" s="5" t="str">
        <f aca="false">IFERROR(IF(INDEX(cnpj!$B:$B,MATCH(A410,cnpj!$A:$A,0))="","",INDEX(cnpj!$B:$B,MATCH(A410,cnpj!$A:$A,0))),"")</f>
        <v>03.267.742/0001-76</v>
      </c>
      <c r="C410" s="5" t="str">
        <f aca="false">IF(B410="","",RIGHT("00000000000000"&amp;SUBSTITUTE(SUBSTITUTE(SUBSTITUTE(SUBSTITUTE(B410,".",""),"/",""),"-","")," ",""),14))</f>
        <v>03267742000176</v>
      </c>
      <c r="D410" s="5" t="str">
        <f aca="false">IF(C410="","",MID(C410,1,2)&amp;"."&amp;MID(C410,3,3)&amp;"."&amp;MID(C410,6,3)&amp;"/"&amp;MID(C410,9,4)&amp;"-"&amp;MID(C410,13,2))</f>
        <v>03.267.742/0001-76</v>
      </c>
      <c r="E410" s="4" t="str">
        <f aca="false">IF(ISNA(MATCH(A410,cnpj!$A:$A,0)),"Lotação não existe na aba cnpj",IF(B410="","Sem CNPJ na aba cnpj","OK"))</f>
        <v>OK</v>
      </c>
    </row>
    <row r="411" customFormat="false" ht="15" hidden="false" customHeight="false" outlineLevel="0" collapsed="false">
      <c r="A411" s="4" t="n">
        <f aca="false">sisgi!A411</f>
        <v>69329</v>
      </c>
      <c r="B411" s="5" t="str">
        <f aca="false">IFERROR(IF(INDEX(cnpj!$B:$B,MATCH(A411,cnpj!$A:$A,0))="","",INDEX(cnpj!$B:$B,MATCH(A411,cnpj!$A:$A,0))),"")</f>
        <v>07.600.773/0001-58</v>
      </c>
      <c r="C411" s="5" t="str">
        <f aca="false">IF(B411="","",RIGHT("00000000000000"&amp;SUBSTITUTE(SUBSTITUTE(SUBSTITUTE(SUBSTITUTE(B411,".",""),"/",""),"-","")," ",""),14))</f>
        <v>07600773000158</v>
      </c>
      <c r="D411" s="5" t="str">
        <f aca="false">IF(C411="","",MID(C411,1,2)&amp;"."&amp;MID(C411,3,3)&amp;"."&amp;MID(C411,6,3)&amp;"/"&amp;MID(C411,9,4)&amp;"-"&amp;MID(C411,13,2))</f>
        <v>07.600.773/0001-58</v>
      </c>
      <c r="E411" s="4" t="str">
        <f aca="false">IF(ISNA(MATCH(A411,cnpj!$A:$A,0)),"Lotação não existe na aba cnpj",IF(B411="","Sem CNPJ na aba cnpj","OK"))</f>
        <v>OK</v>
      </c>
    </row>
    <row r="412" customFormat="false" ht="15" hidden="false" customHeight="false" outlineLevel="0" collapsed="false">
      <c r="A412" s="4" t="n">
        <f aca="false">sisgi!A412</f>
        <v>69400</v>
      </c>
      <c r="B412" s="5" t="str">
        <f aca="false">IFERROR(IF(INDEX(cnpj!$B:$B,MATCH(A412,cnpj!$A:$A,0))="","",INDEX(cnpj!$B:$B,MATCH(A412,cnpj!$A:$A,0))),"")</f>
        <v>01.843.367/0001-30</v>
      </c>
      <c r="C412" s="5" t="str">
        <f aca="false">IF(B412="","",RIGHT("00000000000000"&amp;SUBSTITUTE(SUBSTITUTE(SUBSTITUTE(SUBSTITUTE(B412,".",""),"/",""),"-","")," ",""),14))</f>
        <v>01843367000130</v>
      </c>
      <c r="D412" s="5" t="str">
        <f aca="false">IF(C412="","",MID(C412,1,2)&amp;"."&amp;MID(C412,3,3)&amp;"."&amp;MID(C412,6,3)&amp;"/"&amp;MID(C412,9,4)&amp;"-"&amp;MID(C412,13,2))</f>
        <v>01.843.367/0001-30</v>
      </c>
      <c r="E412" s="4" t="str">
        <f aca="false">IF(ISNA(MATCH(A412,cnpj!$A:$A,0)),"Lotação não existe na aba cnpj",IF(B412="","Sem CNPJ na aba cnpj","OK"))</f>
        <v>OK</v>
      </c>
    </row>
    <row r="413" customFormat="false" ht="15" hidden="false" customHeight="false" outlineLevel="0" collapsed="false">
      <c r="A413" s="4" t="n">
        <f aca="false">sisgi!A413</f>
        <v>69469</v>
      </c>
      <c r="B413" s="5" t="str">
        <f aca="false">IFERROR(IF(INDEX(cnpj!$B:$B,MATCH(A413,cnpj!$A:$A,0))="","",INDEX(cnpj!$B:$B,MATCH(A413,cnpj!$A:$A,0))),"")</f>
        <v>05.284.083/0001-01</v>
      </c>
      <c r="C413" s="5" t="str">
        <f aca="false">IF(B413="","",RIGHT("00000000000000"&amp;SUBSTITUTE(SUBSTITUTE(SUBSTITUTE(SUBSTITUTE(B413,".",""),"/",""),"-","")," ",""),14))</f>
        <v>05284083000101</v>
      </c>
      <c r="D413" s="5" t="str">
        <f aca="false">IF(C413="","",MID(C413,1,2)&amp;"."&amp;MID(C413,3,3)&amp;"."&amp;MID(C413,6,3)&amp;"/"&amp;MID(C413,9,4)&amp;"-"&amp;MID(C413,13,2))</f>
        <v>05.284.083/0001-01</v>
      </c>
      <c r="E413" s="4" t="str">
        <f aca="false">IF(ISNA(MATCH(A413,cnpj!$A:$A,0)),"Lotação não existe na aba cnpj",IF(B413="","Sem CNPJ na aba cnpj","OK"))</f>
        <v>OK</v>
      </c>
    </row>
    <row r="414" customFormat="false" ht="15" hidden="false" customHeight="false" outlineLevel="0" collapsed="false">
      <c r="A414" s="4" t="n">
        <f aca="false">sisgi!A414</f>
        <v>69493</v>
      </c>
      <c r="B414" s="5" t="str">
        <f aca="false">IFERROR(IF(INDEX(cnpj!$B:$B,MATCH(A414,cnpj!$A:$A,0))="","",INDEX(cnpj!$B:$B,MATCH(A414,cnpj!$A:$A,0))),"")</f>
        <v>01.956.026/0001-70</v>
      </c>
      <c r="C414" s="5" t="str">
        <f aca="false">IF(B414="","",RIGHT("00000000000000"&amp;SUBSTITUTE(SUBSTITUTE(SUBSTITUTE(SUBSTITUTE(B414,".",""),"/",""),"-","")," ",""),14))</f>
        <v>01956026000170</v>
      </c>
      <c r="D414" s="5" t="str">
        <f aca="false">IF(C414="","",MID(C414,1,2)&amp;"."&amp;MID(C414,3,3)&amp;"."&amp;MID(C414,6,3)&amp;"/"&amp;MID(C414,9,4)&amp;"-"&amp;MID(C414,13,2))</f>
        <v>01.956.026/0001-70</v>
      </c>
      <c r="E414" s="4" t="str">
        <f aca="false">IF(ISNA(MATCH(A414,cnpj!$A:$A,0)),"Lotação não existe na aba cnpj",IF(B414="","Sem CNPJ na aba cnpj","OK"))</f>
        <v>OK</v>
      </c>
    </row>
    <row r="415" customFormat="false" ht="15" hidden="false" customHeight="false" outlineLevel="0" collapsed="false">
      <c r="A415" s="4" t="n">
        <f aca="false">sisgi!A415</f>
        <v>69523</v>
      </c>
      <c r="B415" s="5" t="str">
        <f aca="false">IFERROR(IF(INDEX(cnpj!$B:$B,MATCH(A415,cnpj!$A:$A,0))="","",INDEX(cnpj!$B:$B,MATCH(A415,cnpj!$A:$A,0))),"")</f>
        <v>01.584.330/0001-34</v>
      </c>
      <c r="C415" s="5" t="str">
        <f aca="false">IF(B415="","",RIGHT("00000000000000"&amp;SUBSTITUTE(SUBSTITUTE(SUBSTITUTE(SUBSTITUTE(B415,".",""),"/",""),"-","")," ",""),14))</f>
        <v>01584330000134</v>
      </c>
      <c r="D415" s="5" t="str">
        <f aca="false">IF(C415="","",MID(C415,1,2)&amp;"."&amp;MID(C415,3,3)&amp;"."&amp;MID(C415,6,3)&amp;"/"&amp;MID(C415,9,4)&amp;"-"&amp;MID(C415,13,2))</f>
        <v>01.584.330/0001-34</v>
      </c>
      <c r="E415" s="4" t="str">
        <f aca="false">IF(ISNA(MATCH(A415,cnpj!$A:$A,0)),"Lotação não existe na aba cnpj",IF(B415="","Sem CNPJ na aba cnpj","OK"))</f>
        <v>OK</v>
      </c>
    </row>
    <row r="416" customFormat="false" ht="15" hidden="false" customHeight="false" outlineLevel="0" collapsed="false">
      <c r="A416" s="4" t="n">
        <f aca="false">sisgi!A416</f>
        <v>69558</v>
      </c>
      <c r="B416" s="5" t="str">
        <f aca="false">IFERROR(IF(INDEX(cnpj!$B:$B,MATCH(A416,cnpj!$A:$A,0))="","",INDEX(cnpj!$B:$B,MATCH(A416,cnpj!$A:$A,0))),"")</f>
        <v>01.939.508/0001-12</v>
      </c>
      <c r="C416" s="5" t="str">
        <f aca="false">IF(B416="","",RIGHT("00000000000000"&amp;SUBSTITUTE(SUBSTITUTE(SUBSTITUTE(SUBSTITUTE(B416,".",""),"/",""),"-","")," ",""),14))</f>
        <v>01939508000112</v>
      </c>
      <c r="D416" s="5" t="str">
        <f aca="false">IF(C416="","",MID(C416,1,2)&amp;"."&amp;MID(C416,3,3)&amp;"."&amp;MID(C416,6,3)&amp;"/"&amp;MID(C416,9,4)&amp;"-"&amp;MID(C416,13,2))</f>
        <v>01.939.508/0001-12</v>
      </c>
      <c r="E416" s="4" t="str">
        <f aca="false">IF(ISNA(MATCH(A416,cnpj!$A:$A,0)),"Lotação não existe na aba cnpj",IF(B416="","Sem CNPJ na aba cnpj","OK"))</f>
        <v>OK</v>
      </c>
    </row>
    <row r="417" customFormat="false" ht="15" hidden="false" customHeight="false" outlineLevel="0" collapsed="false">
      <c r="A417" s="4" t="n">
        <f aca="false">sisgi!A417</f>
        <v>69582</v>
      </c>
      <c r="B417" s="5" t="str">
        <f aca="false">IFERROR(IF(INDEX(cnpj!$B:$B,MATCH(A417,cnpj!$A:$A,0))="","",INDEX(cnpj!$B:$B,MATCH(A417,cnpj!$A:$A,0))),"")</f>
        <v>01.567.051/0001-62</v>
      </c>
      <c r="C417" s="5" t="str">
        <f aca="false">IF(B417="","",RIGHT("00000000000000"&amp;SUBSTITUTE(SUBSTITUTE(SUBSTITUTE(SUBSTITUTE(B417,".",""),"/",""),"-","")," ",""),14))</f>
        <v>01567051000162</v>
      </c>
      <c r="D417" s="5" t="str">
        <f aca="false">IF(C417="","",MID(C417,1,2)&amp;"."&amp;MID(C417,3,3)&amp;"."&amp;MID(C417,6,3)&amp;"/"&amp;MID(C417,9,4)&amp;"-"&amp;MID(C417,13,2))</f>
        <v>01.567.051/0001-62</v>
      </c>
      <c r="E417" s="4" t="str">
        <f aca="false">IF(ISNA(MATCH(A417,cnpj!$A:$A,0)),"Lotação não existe na aba cnpj",IF(B417="","Sem CNPJ na aba cnpj","OK"))</f>
        <v>OK</v>
      </c>
    </row>
    <row r="418" customFormat="false" ht="15" hidden="false" customHeight="false" outlineLevel="0" collapsed="false">
      <c r="A418" s="4" t="n">
        <f aca="false">sisgi!A418</f>
        <v>69612</v>
      </c>
      <c r="B418" s="5" t="str">
        <f aca="false">IFERROR(IF(INDEX(cnpj!$B:$B,MATCH(A418,cnpj!$A:$A,0))="","",INDEX(cnpj!$B:$B,MATCH(A418,cnpj!$A:$A,0))),"")</f>
        <v>01.425.039/0001-13</v>
      </c>
      <c r="C418" s="5" t="str">
        <f aca="false">IF(B418="","",RIGHT("00000000000000"&amp;SUBSTITUTE(SUBSTITUTE(SUBSTITUTE(SUBSTITUTE(B418,".",""),"/",""),"-","")," ",""),14))</f>
        <v>01425039000113</v>
      </c>
      <c r="D418" s="5" t="str">
        <f aca="false">IF(C418="","",MID(C418,1,2)&amp;"."&amp;MID(C418,3,3)&amp;"."&amp;MID(C418,6,3)&amp;"/"&amp;MID(C418,9,4)&amp;"-"&amp;MID(C418,13,2))</f>
        <v>01.425.039/0001-13</v>
      </c>
      <c r="E418" s="4" t="str">
        <f aca="false">IF(ISNA(MATCH(A418,cnpj!$A:$A,0)),"Lotação não existe na aba cnpj",IF(B418="","Sem CNPJ na aba cnpj","OK"))</f>
        <v>OK</v>
      </c>
    </row>
    <row r="419" customFormat="false" ht="15" hidden="false" customHeight="false" outlineLevel="0" collapsed="false">
      <c r="A419" s="4" t="n">
        <f aca="false">sisgi!A419</f>
        <v>71765</v>
      </c>
      <c r="B419" s="5" t="str">
        <f aca="false">IFERROR(IF(INDEX(cnpj!$B:$B,MATCH(A419,cnpj!$A:$A,0))="","",INDEX(cnpj!$B:$B,MATCH(A419,cnpj!$A:$A,0))),"")</f>
        <v>05.163.432/0001-37</v>
      </c>
      <c r="C419" s="5" t="str">
        <f aca="false">IF(B419="","",RIGHT("00000000000000"&amp;SUBSTITUTE(SUBSTITUTE(SUBSTITUTE(SUBSTITUTE(B419,".",""),"/",""),"-","")," ",""),14))</f>
        <v>05163432000137</v>
      </c>
      <c r="D419" s="5" t="str">
        <f aca="false">IF(C419="","",MID(C419,1,2)&amp;"."&amp;MID(C419,3,3)&amp;"."&amp;MID(C419,6,3)&amp;"/"&amp;MID(C419,9,4)&amp;"-"&amp;MID(C419,13,2))</f>
        <v>05.163.432/0001-37</v>
      </c>
      <c r="E419" s="4" t="str">
        <f aca="false">IF(ISNA(MATCH(A419,cnpj!$A:$A,0)),"Lotação não existe na aba cnpj",IF(B419="","Sem CNPJ na aba cnpj","OK"))</f>
        <v>OK</v>
      </c>
    </row>
    <row r="420" customFormat="false" ht="15" hidden="false" customHeight="false" outlineLevel="0" collapsed="false">
      <c r="A420" s="4" t="n">
        <f aca="false">sisgi!A420</f>
        <v>71773</v>
      </c>
      <c r="B420" s="5" t="str">
        <f aca="false">IFERROR(IF(INDEX(cnpj!$B:$B,MATCH(A420,cnpj!$A:$A,0))="","",INDEX(cnpj!$B:$B,MATCH(A420,cnpj!$A:$A,0))),"")</f>
        <v>05.145.379/0001-41</v>
      </c>
      <c r="C420" s="5" t="str">
        <f aca="false">IF(B420="","",RIGHT("00000000000000"&amp;SUBSTITUTE(SUBSTITUTE(SUBSTITUTE(SUBSTITUTE(B420,".",""),"/",""),"-","")," ",""),14))</f>
        <v>05145379000141</v>
      </c>
      <c r="D420" s="5" t="str">
        <f aca="false">IF(C420="","",MID(C420,1,2)&amp;"."&amp;MID(C420,3,3)&amp;"."&amp;MID(C420,6,3)&amp;"/"&amp;MID(C420,9,4)&amp;"-"&amp;MID(C420,13,2))</f>
        <v>05.145.379/0001-41</v>
      </c>
      <c r="E420" s="4" t="str">
        <f aca="false">IF(ISNA(MATCH(A420,cnpj!$A:$A,0)),"Lotação não existe na aba cnpj",IF(B420="","Sem CNPJ na aba cnpj","OK"))</f>
        <v>OK</v>
      </c>
    </row>
    <row r="421" customFormat="false" ht="15" hidden="false" customHeight="false" outlineLevel="0" collapsed="false">
      <c r="A421" s="4" t="n">
        <f aca="false">sisgi!A421</f>
        <v>71790</v>
      </c>
      <c r="B421" s="5" t="str">
        <f aca="false">IFERROR(IF(INDEX(cnpj!$B:$B,MATCH(A421,cnpj!$A:$A,0))="","",INDEX(cnpj!$B:$B,MATCH(A421,cnpj!$A:$A,0))),"")</f>
        <v>01.664.039/0001-76</v>
      </c>
      <c r="C421" s="5" t="str">
        <f aca="false">IF(B421="","",RIGHT("00000000000000"&amp;SUBSTITUTE(SUBSTITUTE(SUBSTITUTE(SUBSTITUTE(B421,".",""),"/",""),"-","")," ",""),14))</f>
        <v>01664039000176</v>
      </c>
      <c r="D421" s="5" t="str">
        <f aca="false">IF(C421="","",MID(C421,1,2)&amp;"."&amp;MID(C421,3,3)&amp;"."&amp;MID(C421,6,3)&amp;"/"&amp;MID(C421,9,4)&amp;"-"&amp;MID(C421,13,2))</f>
        <v>01.664.039/0001-76</v>
      </c>
      <c r="E421" s="4" t="str">
        <f aca="false">IF(ISNA(MATCH(A421,cnpj!$A:$A,0)),"Lotação não existe na aba cnpj",IF(B421="","Sem CNPJ na aba cnpj","OK"))</f>
        <v>OK</v>
      </c>
    </row>
    <row r="422" customFormat="false" ht="15" hidden="false" customHeight="false" outlineLevel="0" collapsed="false">
      <c r="A422" s="4" t="n">
        <f aca="false">sisgi!A422</f>
        <v>71838</v>
      </c>
      <c r="B422" s="5" t="str">
        <f aca="false">IFERROR(IF(INDEX(cnpj!$B:$B,MATCH(A422,cnpj!$A:$A,0))="","",INDEX(cnpj!$B:$B,MATCH(A422,cnpj!$A:$A,0))),"")</f>
        <v>01.781.618/0001-07</v>
      </c>
      <c r="C422" s="5" t="str">
        <f aca="false">IF(B422="","",RIGHT("00000000000000"&amp;SUBSTITUTE(SUBSTITUTE(SUBSTITUTE(SUBSTITUTE(B422,".",""),"/",""),"-","")," ",""),14))</f>
        <v>01781618000107</v>
      </c>
      <c r="D422" s="5" t="str">
        <f aca="false">IF(C422="","",MID(C422,1,2)&amp;"."&amp;MID(C422,3,3)&amp;"."&amp;MID(C422,6,3)&amp;"/"&amp;MID(C422,9,4)&amp;"-"&amp;MID(C422,13,2))</f>
        <v>01.781.618/0001-07</v>
      </c>
      <c r="E422" s="4" t="str">
        <f aca="false">IF(ISNA(MATCH(A422,cnpj!$A:$A,0)),"Lotação não existe na aba cnpj",IF(B422="","Sem CNPJ na aba cnpj","OK"))</f>
        <v>OK</v>
      </c>
    </row>
    <row r="423" customFormat="false" ht="15" hidden="false" customHeight="false" outlineLevel="0" collapsed="false">
      <c r="A423" s="4" t="n">
        <f aca="false">sisgi!A423</f>
        <v>75116</v>
      </c>
      <c r="B423" s="5" t="str">
        <f aca="false">IFERROR(IF(INDEX(cnpj!$B:$B,MATCH(A423,cnpj!$A:$A,0))="","",INDEX(cnpj!$B:$B,MATCH(A423,cnpj!$A:$A,0))),"")</f>
        <v>05.395.184/0001-50</v>
      </c>
      <c r="C423" s="5" t="str">
        <f aca="false">IF(B423="","",RIGHT("00000000000000"&amp;SUBSTITUTE(SUBSTITUTE(SUBSTITUTE(SUBSTITUTE(B423,".",""),"/",""),"-","")," ",""),14))</f>
        <v>05395184000150</v>
      </c>
      <c r="D423" s="5" t="str">
        <f aca="false">IF(C423="","",MID(C423,1,2)&amp;"."&amp;MID(C423,3,3)&amp;"."&amp;MID(C423,6,3)&amp;"/"&amp;MID(C423,9,4)&amp;"-"&amp;MID(C423,13,2))</f>
        <v>05.395.184/0001-50</v>
      </c>
      <c r="E423" s="4" t="str">
        <f aca="false">IF(ISNA(MATCH(A423,cnpj!$A:$A,0)),"Lotação não existe na aba cnpj",IF(B423="","Sem CNPJ na aba cnpj","OK"))</f>
        <v>OK</v>
      </c>
    </row>
    <row r="424" customFormat="false" ht="15" hidden="false" customHeight="false" outlineLevel="0" collapsed="false">
      <c r="A424" s="4" t="n">
        <f aca="false">sisgi!A424</f>
        <v>75680</v>
      </c>
      <c r="B424" s="5" t="str">
        <f aca="false">IFERROR(IF(INDEX(cnpj!$B:$B,MATCH(A424,cnpj!$A:$A,0))="","",INDEX(cnpj!$B:$B,MATCH(A424,cnpj!$A:$A,0))),"")</f>
        <v>05.558.916/0001-85</v>
      </c>
      <c r="C424" s="5" t="str">
        <f aca="false">IF(B424="","",RIGHT("00000000000000"&amp;SUBSTITUTE(SUBSTITUTE(SUBSTITUTE(SUBSTITUTE(B424,".",""),"/",""),"-","")," ",""),14))</f>
        <v>05558916000185</v>
      </c>
      <c r="D424" s="5" t="str">
        <f aca="false">IF(C424="","",MID(C424,1,2)&amp;"."&amp;MID(C424,3,3)&amp;"."&amp;MID(C424,6,3)&amp;"/"&amp;MID(C424,9,4)&amp;"-"&amp;MID(C424,13,2))</f>
        <v>05.558.916/0001-85</v>
      </c>
      <c r="E424" s="4" t="str">
        <f aca="false">IF(ISNA(MATCH(A424,cnpj!$A:$A,0)),"Lotação não existe na aba cnpj",IF(B424="","Sem CNPJ na aba cnpj","OK"))</f>
        <v>OK</v>
      </c>
    </row>
    <row r="425" customFormat="false" ht="15" hidden="false" customHeight="false" outlineLevel="0" collapsed="false">
      <c r="A425" s="4" t="n">
        <f aca="false">sisgi!A425</f>
        <v>75698</v>
      </c>
      <c r="B425" s="5" t="str">
        <f aca="false">IFERROR(IF(INDEX(cnpj!$B:$B,MATCH(A425,cnpj!$A:$A,0))="","",INDEX(cnpj!$B:$B,MATCH(A425,cnpj!$A:$A,0))),"")</f>
        <v>05.812.503/0001-85</v>
      </c>
      <c r="C425" s="5" t="str">
        <f aca="false">IF(B425="","",RIGHT("00000000000000"&amp;SUBSTITUTE(SUBSTITUTE(SUBSTITUTE(SUBSTITUTE(B425,".",""),"/",""),"-","")," ",""),14))</f>
        <v>05812503000185</v>
      </c>
      <c r="D425" s="5" t="str">
        <f aca="false">IF(C425="","",MID(C425,1,2)&amp;"."&amp;MID(C425,3,3)&amp;"."&amp;MID(C425,6,3)&amp;"/"&amp;MID(C425,9,4)&amp;"-"&amp;MID(C425,13,2))</f>
        <v>05.812.503/0001-85</v>
      </c>
      <c r="E425" s="4" t="str">
        <f aca="false">IF(ISNA(MATCH(A425,cnpj!$A:$A,0)),"Lotação não existe na aba cnpj",IF(B425="","Sem CNPJ na aba cnpj","OK"))</f>
        <v>OK</v>
      </c>
    </row>
    <row r="426" customFormat="false" ht="15" hidden="false" customHeight="false" outlineLevel="0" collapsed="false">
      <c r="A426" s="4" t="n">
        <f aca="false">sisgi!A426</f>
        <v>75710</v>
      </c>
      <c r="B426" s="5" t="str">
        <f aca="false">IFERROR(IF(INDEX(cnpj!$B:$B,MATCH(A426,cnpj!$A:$A,0))="","",INDEX(cnpj!$B:$B,MATCH(A426,cnpj!$A:$A,0))),"")</f>
        <v>05.599.191/0001-73</v>
      </c>
      <c r="C426" s="5" t="str">
        <f aca="false">IF(B426="","",RIGHT("00000000000000"&amp;SUBSTITUTE(SUBSTITUTE(SUBSTITUTE(SUBSTITUTE(B426,".",""),"/",""),"-","")," ",""),14))</f>
        <v>05599191000173</v>
      </c>
      <c r="D426" s="5" t="str">
        <f aca="false">IF(C426="","",MID(C426,1,2)&amp;"."&amp;MID(C426,3,3)&amp;"."&amp;MID(C426,6,3)&amp;"/"&amp;MID(C426,9,4)&amp;"-"&amp;MID(C426,13,2))</f>
        <v>05.599.191/0001-73</v>
      </c>
      <c r="E426" s="4" t="str">
        <f aca="false">IF(ISNA(MATCH(A426,cnpj!$A:$A,0)),"Lotação não existe na aba cnpj",IF(B426="","Sem CNPJ na aba cnpj","OK"))</f>
        <v>OK</v>
      </c>
    </row>
    <row r="427" customFormat="false" ht="15" hidden="false" customHeight="false" outlineLevel="0" collapsed="false">
      <c r="A427" s="4" t="n">
        <f aca="false">sisgi!A427</f>
        <v>75728</v>
      </c>
      <c r="B427" s="5" t="str">
        <f aca="false">IFERROR(IF(INDEX(cnpj!$B:$B,MATCH(A427,cnpj!$A:$A,0))="","",INDEX(cnpj!$B:$B,MATCH(A427,cnpj!$A:$A,0))),"")</f>
        <v>05.403.751/0001-72</v>
      </c>
      <c r="C427" s="5" t="str">
        <f aca="false">IF(B427="","",RIGHT("00000000000000"&amp;SUBSTITUTE(SUBSTITUTE(SUBSTITUTE(SUBSTITUTE(B427,".",""),"/",""),"-","")," ",""),14))</f>
        <v>05403751000172</v>
      </c>
      <c r="D427" s="5" t="str">
        <f aca="false">IF(C427="","",MID(C427,1,2)&amp;"."&amp;MID(C427,3,3)&amp;"."&amp;MID(C427,6,3)&amp;"/"&amp;MID(C427,9,4)&amp;"-"&amp;MID(C427,13,2))</f>
        <v>05.403.751/0001-72</v>
      </c>
      <c r="E427" s="4" t="str">
        <f aca="false">IF(ISNA(MATCH(A427,cnpj!$A:$A,0)),"Lotação não existe na aba cnpj",IF(B427="","Sem CNPJ na aba cnpj","OK"))</f>
        <v>OK</v>
      </c>
    </row>
    <row r="428" customFormat="false" ht="15" hidden="false" customHeight="false" outlineLevel="0" collapsed="false">
      <c r="A428" s="4" t="n">
        <f aca="false">sisgi!A428</f>
        <v>76180</v>
      </c>
      <c r="B428" s="5" t="str">
        <f aca="false">IFERROR(IF(INDEX(cnpj!$B:$B,MATCH(A428,cnpj!$A:$A,0))="","",INDEX(cnpj!$B:$B,MATCH(A428,cnpj!$A:$A,0))),"")</f>
        <v>05.585.163/0001-05</v>
      </c>
      <c r="C428" s="5" t="str">
        <f aca="false">IF(B428="","",RIGHT("00000000000000"&amp;SUBSTITUTE(SUBSTITUTE(SUBSTITUTE(SUBSTITUTE(B428,".",""),"/",""),"-","")," ",""),14))</f>
        <v>05585163000105</v>
      </c>
      <c r="D428" s="5" t="str">
        <f aca="false">IF(C428="","",MID(C428,1,2)&amp;"."&amp;MID(C428,3,3)&amp;"."&amp;MID(C428,6,3)&amp;"/"&amp;MID(C428,9,4)&amp;"-"&amp;MID(C428,13,2))</f>
        <v>05.585.163/0001-05</v>
      </c>
      <c r="E428" s="4" t="str">
        <f aca="false">IF(ISNA(MATCH(A428,cnpj!$A:$A,0)),"Lotação não existe na aba cnpj",IF(B428="","Sem CNPJ na aba cnpj","OK"))</f>
        <v>OK</v>
      </c>
    </row>
    <row r="429" customFormat="false" ht="15" hidden="false" customHeight="false" outlineLevel="0" collapsed="false">
      <c r="A429" s="4" t="n">
        <f aca="false">sisgi!A429</f>
        <v>76198</v>
      </c>
      <c r="B429" s="5" t="str">
        <f aca="false">IFERROR(IF(INDEX(cnpj!$B:$B,MATCH(A429,cnpj!$A:$A,0))="","",INDEX(cnpj!$B:$B,MATCH(A429,cnpj!$A:$A,0))),"")</f>
        <v>05.665.466/0001-20</v>
      </c>
      <c r="C429" s="5" t="str">
        <f aca="false">IF(B429="","",RIGHT("00000000000000"&amp;SUBSTITUTE(SUBSTITUTE(SUBSTITUTE(SUBSTITUTE(B429,".",""),"/",""),"-","")," ",""),14))</f>
        <v>05665466000120</v>
      </c>
      <c r="D429" s="5" t="str">
        <f aca="false">IF(C429="","",MID(C429,1,2)&amp;"."&amp;MID(C429,3,3)&amp;"."&amp;MID(C429,6,3)&amp;"/"&amp;MID(C429,9,4)&amp;"-"&amp;MID(C429,13,2))</f>
        <v>05.665.466/0001-20</v>
      </c>
      <c r="E429" s="4" t="str">
        <f aca="false">IF(ISNA(MATCH(A429,cnpj!$A:$A,0)),"Lotação não existe na aba cnpj",IF(B429="","Sem CNPJ na aba cnpj","OK"))</f>
        <v>OK</v>
      </c>
    </row>
    <row r="430" customFormat="false" ht="15" hidden="false" customHeight="false" outlineLevel="0" collapsed="false">
      <c r="A430" s="4" t="n">
        <f aca="false">sisgi!A430</f>
        <v>76201</v>
      </c>
      <c r="B430" s="5" t="str">
        <f aca="false">IFERROR(IF(INDEX(cnpj!$B:$B,MATCH(A430,cnpj!$A:$A,0))="","",INDEX(cnpj!$B:$B,MATCH(A430,cnpj!$A:$A,0))),"")</f>
        <v>05.689.106/0001-68</v>
      </c>
      <c r="C430" s="5" t="str">
        <f aca="false">IF(B430="","",RIGHT("00000000000000"&amp;SUBSTITUTE(SUBSTITUTE(SUBSTITUTE(SUBSTITUTE(B430,".",""),"/",""),"-","")," ",""),14))</f>
        <v>05689106000168</v>
      </c>
      <c r="D430" s="5" t="str">
        <f aca="false">IF(C430="","",MID(C430,1,2)&amp;"."&amp;MID(C430,3,3)&amp;"."&amp;MID(C430,6,3)&amp;"/"&amp;MID(C430,9,4)&amp;"-"&amp;MID(C430,13,2))</f>
        <v>05.689.106/0001-68</v>
      </c>
      <c r="E430" s="4" t="str">
        <f aca="false">IF(ISNA(MATCH(A430,cnpj!$A:$A,0)),"Lotação não existe na aba cnpj",IF(B430="","Sem CNPJ na aba cnpj","OK"))</f>
        <v>OK</v>
      </c>
    </row>
    <row r="431" customFormat="false" ht="15" hidden="false" customHeight="false" outlineLevel="0" collapsed="false">
      <c r="A431" s="4" t="n">
        <f aca="false">sisgi!A431</f>
        <v>76228</v>
      </c>
      <c r="B431" s="5" t="str">
        <f aca="false">IFERROR(IF(INDEX(cnpj!$B:$B,MATCH(A431,cnpj!$A:$A,0))="","",INDEX(cnpj!$B:$B,MATCH(A431,cnpj!$A:$A,0))),"")</f>
        <v>01.939.527/0001-49</v>
      </c>
      <c r="C431" s="5" t="str">
        <f aca="false">IF(B431="","",RIGHT("00000000000000"&amp;SUBSTITUTE(SUBSTITUTE(SUBSTITUTE(SUBSTITUTE(B431,".",""),"/",""),"-","")," ",""),14))</f>
        <v>01939527000149</v>
      </c>
      <c r="D431" s="5" t="str">
        <f aca="false">IF(C431="","",MID(C431,1,2)&amp;"."&amp;MID(C431,3,3)&amp;"."&amp;MID(C431,6,3)&amp;"/"&amp;MID(C431,9,4)&amp;"-"&amp;MID(C431,13,2))</f>
        <v>01.939.527/0001-49</v>
      </c>
      <c r="E431" s="4" t="str">
        <f aca="false">IF(ISNA(MATCH(A431,cnpj!$A:$A,0)),"Lotação não existe na aba cnpj",IF(B431="","Sem CNPJ na aba cnpj","OK"))</f>
        <v>OK</v>
      </c>
    </row>
    <row r="432" customFormat="false" ht="15" hidden="false" customHeight="false" outlineLevel="0" collapsed="false">
      <c r="A432" s="4" t="n">
        <f aca="false">sisgi!A432</f>
        <v>76929</v>
      </c>
      <c r="B432" s="5" t="str">
        <f aca="false">IFERROR(IF(INDEX(cnpj!$B:$B,MATCH(A432,cnpj!$A:$A,0))="","",INDEX(cnpj!$B:$B,MATCH(A432,cnpj!$A:$A,0))),"")</f>
        <v>05.535.197/0001-87</v>
      </c>
      <c r="C432" s="5" t="str">
        <f aca="false">IF(B432="","",RIGHT("00000000000000"&amp;SUBSTITUTE(SUBSTITUTE(SUBSTITUTE(SUBSTITUTE(B432,".",""),"/",""),"-","")," ",""),14))</f>
        <v>05535197000187</v>
      </c>
      <c r="D432" s="5" t="str">
        <f aca="false">IF(C432="","",MID(C432,1,2)&amp;"."&amp;MID(C432,3,3)&amp;"."&amp;MID(C432,6,3)&amp;"/"&amp;MID(C432,9,4)&amp;"-"&amp;MID(C432,13,2))</f>
        <v>05.535.197/0001-87</v>
      </c>
      <c r="E432" s="4" t="str">
        <f aca="false">IF(ISNA(MATCH(A432,cnpj!$A:$A,0)),"Lotação não existe na aba cnpj",IF(B432="","Sem CNPJ na aba cnpj","OK"))</f>
        <v>OK</v>
      </c>
    </row>
    <row r="433" customFormat="false" ht="15" hidden="false" customHeight="false" outlineLevel="0" collapsed="false">
      <c r="A433" s="4" t="n">
        <f aca="false">sisgi!A433</f>
        <v>77895</v>
      </c>
      <c r="B433" s="5" t="str">
        <f aca="false">IFERROR(IF(INDEX(cnpj!$B:$B,MATCH(A433,cnpj!$A:$A,0))="","",INDEX(cnpj!$B:$B,MATCH(A433,cnpj!$A:$A,0))),"")</f>
        <v>07.344.345/0001-01</v>
      </c>
      <c r="C433" s="5" t="str">
        <f aca="false">IF(B433="","",RIGHT("00000000000000"&amp;SUBSTITUTE(SUBSTITUTE(SUBSTITUTE(SUBSTITUTE(B433,".",""),"/",""),"-","")," ",""),14))</f>
        <v>07344345000101</v>
      </c>
      <c r="D433" s="5" t="str">
        <f aca="false">IF(C433="","",MID(C433,1,2)&amp;"."&amp;MID(C433,3,3)&amp;"."&amp;MID(C433,6,3)&amp;"/"&amp;MID(C433,9,4)&amp;"-"&amp;MID(C433,13,2))</f>
        <v>07.344.345/0001-01</v>
      </c>
      <c r="E433" s="4" t="str">
        <f aca="false">IF(ISNA(MATCH(A433,cnpj!$A:$A,0)),"Lotação não existe na aba cnpj",IF(B433="","Sem CNPJ na aba cnpj","OK"))</f>
        <v>OK</v>
      </c>
    </row>
    <row r="434" customFormat="false" ht="15" hidden="false" customHeight="false" outlineLevel="0" collapsed="false">
      <c r="A434" s="4" t="n">
        <f aca="false">sisgi!A434</f>
        <v>77925</v>
      </c>
      <c r="B434" s="5" t="str">
        <f aca="false">IFERROR(IF(INDEX(cnpj!$B:$B,MATCH(A434,cnpj!$A:$A,0))="","",INDEX(cnpj!$B:$B,MATCH(A434,cnpj!$A:$A,0))),"")</f>
        <v>07.520.997/0001-50</v>
      </c>
      <c r="C434" s="5" t="str">
        <f aca="false">IF(B434="","",RIGHT("00000000000000"&amp;SUBSTITUTE(SUBSTITUTE(SUBSTITUTE(SUBSTITUTE(B434,".",""),"/",""),"-","")," ",""),14))</f>
        <v>07520997000150</v>
      </c>
      <c r="D434" s="5" t="str">
        <f aca="false">IF(C434="","",MID(C434,1,2)&amp;"."&amp;MID(C434,3,3)&amp;"."&amp;MID(C434,6,3)&amp;"/"&amp;MID(C434,9,4)&amp;"-"&amp;MID(C434,13,2))</f>
        <v>07.520.997/0001-50</v>
      </c>
      <c r="E434" s="4" t="str">
        <f aca="false">IF(ISNA(MATCH(A434,cnpj!$A:$A,0)),"Lotação não existe na aba cnpj",IF(B434="","Sem CNPJ na aba cnpj","OK"))</f>
        <v>OK</v>
      </c>
    </row>
    <row r="435" customFormat="false" ht="15" hidden="false" customHeight="false" outlineLevel="0" collapsed="false">
      <c r="A435" s="4" t="n">
        <f aca="false">sisgi!A435</f>
        <v>78280</v>
      </c>
      <c r="B435" s="5" t="str">
        <f aca="false">IFERROR(IF(INDEX(cnpj!$B:$B,MATCH(A435,cnpj!$A:$A,0))="","",INDEX(cnpj!$B:$B,MATCH(A435,cnpj!$A:$A,0))),"")</f>
        <v>05.980.987/0001-71</v>
      </c>
      <c r="C435" s="5" t="str">
        <f aca="false">IF(B435="","",RIGHT("00000000000000"&amp;SUBSTITUTE(SUBSTITUTE(SUBSTITUTE(SUBSTITUTE(B435,".",""),"/",""),"-","")," ",""),14))</f>
        <v>05980987000171</v>
      </c>
      <c r="D435" s="5" t="str">
        <f aca="false">IF(C435="","",MID(C435,1,2)&amp;"."&amp;MID(C435,3,3)&amp;"."&amp;MID(C435,6,3)&amp;"/"&amp;MID(C435,9,4)&amp;"-"&amp;MID(C435,13,2))</f>
        <v>05.980.987/0001-71</v>
      </c>
      <c r="E435" s="4" t="str">
        <f aca="false">IF(ISNA(MATCH(A435,cnpj!$A:$A,0)),"Lotação não existe na aba cnpj",IF(B435="","Sem CNPJ na aba cnpj","OK"))</f>
        <v>OK</v>
      </c>
    </row>
    <row r="436" customFormat="false" ht="15" hidden="false" customHeight="false" outlineLevel="0" collapsed="false">
      <c r="A436" s="4" t="n">
        <f aca="false">sisgi!A436</f>
        <v>78298</v>
      </c>
      <c r="B436" s="5" t="str">
        <f aca="false">IFERROR(IF(INDEX(cnpj!$B:$B,MATCH(A436,cnpj!$A:$A,0))="","",INDEX(cnpj!$B:$B,MATCH(A436,cnpj!$A:$A,0))),"")</f>
        <v>05.808.755/0001-30</v>
      </c>
      <c r="C436" s="5" t="str">
        <f aca="false">IF(B436="","",RIGHT("00000000000000"&amp;SUBSTITUTE(SUBSTITUTE(SUBSTITUTE(SUBSTITUTE(B436,".",""),"/",""),"-","")," ",""),14))</f>
        <v>05808755000130</v>
      </c>
      <c r="D436" s="5" t="str">
        <f aca="false">IF(C436="","",MID(C436,1,2)&amp;"."&amp;MID(C436,3,3)&amp;"."&amp;MID(C436,6,3)&amp;"/"&amp;MID(C436,9,4)&amp;"-"&amp;MID(C436,13,2))</f>
        <v>05.808.755/0001-30</v>
      </c>
      <c r="E436" s="4" t="str">
        <f aca="false">IF(ISNA(MATCH(A436,cnpj!$A:$A,0)),"Lotação não existe na aba cnpj",IF(B436="","Sem CNPJ na aba cnpj","OK"))</f>
        <v>OK</v>
      </c>
    </row>
    <row r="437" customFormat="false" ht="15" hidden="false" customHeight="false" outlineLevel="0" collapsed="false">
      <c r="A437" s="4" t="n">
        <f aca="false">sisgi!A437</f>
        <v>82252</v>
      </c>
      <c r="B437" s="5" t="str">
        <f aca="false">IFERROR(IF(INDEX(cnpj!$B:$B,MATCH(A437,cnpj!$A:$A,0))="","",INDEX(cnpj!$B:$B,MATCH(A437,cnpj!$A:$A,0))),"")</f>
        <v>06.974.603/0001-70</v>
      </c>
      <c r="C437" s="5" t="str">
        <f aca="false">IF(B437="","",RIGHT("00000000000000"&amp;SUBSTITUTE(SUBSTITUTE(SUBSTITUTE(SUBSTITUTE(B437,".",""),"/",""),"-","")," ",""),14))</f>
        <v>06974603000170</v>
      </c>
      <c r="D437" s="5" t="str">
        <f aca="false">IF(C437="","",MID(C437,1,2)&amp;"."&amp;MID(C437,3,3)&amp;"."&amp;MID(C437,6,3)&amp;"/"&amp;MID(C437,9,4)&amp;"-"&amp;MID(C437,13,2))</f>
        <v>06.974.603/0001-70</v>
      </c>
      <c r="E437" s="4" t="str">
        <f aca="false">IF(ISNA(MATCH(A437,cnpj!$A:$A,0)),"Lotação não existe na aba cnpj",IF(B437="","Sem CNPJ na aba cnpj","OK"))</f>
        <v>OK</v>
      </c>
    </row>
    <row r="438" customFormat="false" ht="15" hidden="false" customHeight="false" outlineLevel="0" collapsed="false">
      <c r="A438" s="4" t="n">
        <f aca="false">sisgi!A438</f>
        <v>82260</v>
      </c>
      <c r="B438" s="5" t="str">
        <f aca="false">IFERROR(IF(INDEX(cnpj!$B:$B,MATCH(A438,cnpj!$A:$A,0))="","",INDEX(cnpj!$B:$B,MATCH(A438,cnpj!$A:$A,0))),"")</f>
        <v>06.019.162/0001-58</v>
      </c>
      <c r="C438" s="5" t="str">
        <f aca="false">IF(B438="","",RIGHT("00000000000000"&amp;SUBSTITUTE(SUBSTITUTE(SUBSTITUTE(SUBSTITUTE(B438,".",""),"/",""),"-","")," ",""),14))</f>
        <v>06019162000158</v>
      </c>
      <c r="D438" s="5" t="str">
        <f aca="false">IF(C438="","",MID(C438,1,2)&amp;"."&amp;MID(C438,3,3)&amp;"."&amp;MID(C438,6,3)&amp;"/"&amp;MID(C438,9,4)&amp;"-"&amp;MID(C438,13,2))</f>
        <v>06.019.162/0001-58</v>
      </c>
      <c r="E438" s="4" t="str">
        <f aca="false">IF(ISNA(MATCH(A438,cnpj!$A:$A,0)),"Lotação não existe na aba cnpj",IF(B438="","Sem CNPJ na aba cnpj","OK"))</f>
        <v>OK</v>
      </c>
    </row>
    <row r="439" customFormat="false" ht="15" hidden="false" customHeight="false" outlineLevel="0" collapsed="false">
      <c r="A439" s="4" t="n">
        <f aca="false">sisgi!A439</f>
        <v>83607</v>
      </c>
      <c r="B439" s="5" t="str">
        <f aca="false">IFERROR(IF(INDEX(cnpj!$B:$B,MATCH(A439,cnpj!$A:$A,0))="","",INDEX(cnpj!$B:$B,MATCH(A439,cnpj!$A:$A,0))),"")</f>
        <v>06.192.950/0001-41</v>
      </c>
      <c r="C439" s="5" t="str">
        <f aca="false">IF(B439="","",RIGHT("00000000000000"&amp;SUBSTITUTE(SUBSTITUTE(SUBSTITUTE(SUBSTITUTE(B439,".",""),"/",""),"-","")," ",""),14))</f>
        <v>06192950000141</v>
      </c>
      <c r="D439" s="5" t="str">
        <f aca="false">IF(C439="","",MID(C439,1,2)&amp;"."&amp;MID(C439,3,3)&amp;"."&amp;MID(C439,6,3)&amp;"/"&amp;MID(C439,9,4)&amp;"-"&amp;MID(C439,13,2))</f>
        <v>06.192.950/0001-41</v>
      </c>
      <c r="E439" s="4" t="str">
        <f aca="false">IF(ISNA(MATCH(A439,cnpj!$A:$A,0)),"Lotação não existe na aba cnpj",IF(B439="","Sem CNPJ na aba cnpj","OK"))</f>
        <v>OK</v>
      </c>
    </row>
    <row r="440" customFormat="false" ht="15" hidden="false" customHeight="false" outlineLevel="0" collapsed="false">
      <c r="A440" s="4" t="n">
        <f aca="false">sisgi!A440</f>
        <v>84336</v>
      </c>
      <c r="B440" s="5" t="str">
        <f aca="false">IFERROR(IF(INDEX(cnpj!$B:$B,MATCH(A440,cnpj!$A:$A,0))="","",INDEX(cnpj!$B:$B,MATCH(A440,cnpj!$A:$A,0))),"")</f>
        <v>06.294.502/0001-59</v>
      </c>
      <c r="C440" s="5" t="str">
        <f aca="false">IF(B440="","",RIGHT("00000000000000"&amp;SUBSTITUTE(SUBSTITUTE(SUBSTITUTE(SUBSTITUTE(B440,".",""),"/",""),"-","")," ",""),14))</f>
        <v>06294502000159</v>
      </c>
      <c r="D440" s="5" t="str">
        <f aca="false">IF(C440="","",MID(C440,1,2)&amp;"."&amp;MID(C440,3,3)&amp;"."&amp;MID(C440,6,3)&amp;"/"&amp;MID(C440,9,4)&amp;"-"&amp;MID(C440,13,2))</f>
        <v>06.294.502/0001-59</v>
      </c>
      <c r="E440" s="4" t="str">
        <f aca="false">IF(ISNA(MATCH(A440,cnpj!$A:$A,0)),"Lotação não existe na aba cnpj",IF(B440="","Sem CNPJ na aba cnpj","OK"))</f>
        <v>OK</v>
      </c>
    </row>
    <row r="441" customFormat="false" ht="15" hidden="false" customHeight="false" outlineLevel="0" collapsed="false">
      <c r="A441" s="4" t="n">
        <f aca="false">sisgi!A441</f>
        <v>84344</v>
      </c>
      <c r="B441" s="5" t="str">
        <f aca="false">IFERROR(IF(INDEX(cnpj!$B:$B,MATCH(A441,cnpj!$A:$A,0))="","",INDEX(cnpj!$B:$B,MATCH(A441,cnpj!$A:$A,0))),"")</f>
        <v>06.935.961/0001-74</v>
      </c>
      <c r="C441" s="5" t="str">
        <f aca="false">IF(B441="","",RIGHT("00000000000000"&amp;SUBSTITUTE(SUBSTITUTE(SUBSTITUTE(SUBSTITUTE(B441,".",""),"/",""),"-","")," ",""),14))</f>
        <v>06935961000174</v>
      </c>
      <c r="D441" s="5" t="str">
        <f aca="false">IF(C441="","",MID(C441,1,2)&amp;"."&amp;MID(C441,3,3)&amp;"."&amp;MID(C441,6,3)&amp;"/"&amp;MID(C441,9,4)&amp;"-"&amp;MID(C441,13,2))</f>
        <v>06.935.961/0001-74</v>
      </c>
      <c r="E441" s="4" t="str">
        <f aca="false">IF(ISNA(MATCH(A441,cnpj!$A:$A,0)),"Lotação não existe na aba cnpj",IF(B441="","Sem CNPJ na aba cnpj","OK"))</f>
        <v>OK</v>
      </c>
    </row>
    <row r="442" customFormat="false" ht="15" hidden="false" customHeight="false" outlineLevel="0" collapsed="false">
      <c r="A442" s="4" t="n">
        <f aca="false">sisgi!A442</f>
        <v>91421</v>
      </c>
      <c r="B442" s="5" t="str">
        <f aca="false">IFERROR(IF(INDEX(cnpj!$B:$B,MATCH(A442,cnpj!$A:$A,0))="","",INDEX(cnpj!$B:$B,MATCH(A442,cnpj!$A:$A,0))),"")</f>
        <v>07.580.569/0001-12</v>
      </c>
      <c r="C442" s="5" t="str">
        <f aca="false">IF(B442="","",RIGHT("00000000000000"&amp;SUBSTITUTE(SUBSTITUTE(SUBSTITUTE(SUBSTITUTE(B442,".",""),"/",""),"-","")," ",""),14))</f>
        <v>07580569000112</v>
      </c>
      <c r="D442" s="5" t="str">
        <f aca="false">IF(C442="","",MID(C442,1,2)&amp;"."&amp;MID(C442,3,3)&amp;"."&amp;MID(C442,6,3)&amp;"/"&amp;MID(C442,9,4)&amp;"-"&amp;MID(C442,13,2))</f>
        <v>07.580.569/0001-12</v>
      </c>
      <c r="E442" s="4" t="str">
        <f aca="false">IF(ISNA(MATCH(A442,cnpj!$A:$A,0)),"Lotação não existe na aba cnpj",IF(B442="","Sem CNPJ na aba cnpj","OK"))</f>
        <v>OK</v>
      </c>
    </row>
    <row r="443" customFormat="false" ht="15" hidden="false" customHeight="false" outlineLevel="0" collapsed="false">
      <c r="A443" s="4" t="n">
        <f aca="false">sisgi!A443</f>
        <v>91448</v>
      </c>
      <c r="B443" s="5" t="str">
        <f aca="false">IFERROR(IF(INDEX(cnpj!$B:$B,MATCH(A443,cnpj!$A:$A,0))="","",INDEX(cnpj!$B:$B,MATCH(A443,cnpj!$A:$A,0))),"")</f>
        <v>06.321.361/0001-16</v>
      </c>
      <c r="C443" s="5" t="str">
        <f aca="false">IF(B443="","",RIGHT("00000000000000"&amp;SUBSTITUTE(SUBSTITUTE(SUBSTITUTE(SUBSTITUTE(B443,".",""),"/",""),"-","")," ",""),14))</f>
        <v>06321361000116</v>
      </c>
      <c r="D443" s="5" t="str">
        <f aca="false">IF(C443="","",MID(C443,1,2)&amp;"."&amp;MID(C443,3,3)&amp;"."&amp;MID(C443,6,3)&amp;"/"&amp;MID(C443,9,4)&amp;"-"&amp;MID(C443,13,2))</f>
        <v>06.321.361/0001-16</v>
      </c>
      <c r="E443" s="4" t="str">
        <f aca="false">IF(ISNA(MATCH(A443,cnpj!$A:$A,0)),"Lotação não existe na aba cnpj",IF(B443="","Sem CNPJ na aba cnpj","OK"))</f>
        <v>OK</v>
      </c>
    </row>
    <row r="444" customFormat="false" ht="15" hidden="false" customHeight="false" outlineLevel="0" collapsed="false">
      <c r="A444" s="4" t="n">
        <f aca="false">sisgi!A444</f>
        <v>91456</v>
      </c>
      <c r="B444" s="5" t="str">
        <f aca="false">IFERROR(IF(INDEX(cnpj!$B:$B,MATCH(A444,cnpj!$A:$A,0))="","",INDEX(cnpj!$B:$B,MATCH(A444,cnpj!$A:$A,0))),"")</f>
        <v>06.230.227/0001-00</v>
      </c>
      <c r="C444" s="5" t="str">
        <f aca="false">IF(B444="","",RIGHT("00000000000000"&amp;SUBSTITUTE(SUBSTITUTE(SUBSTITUTE(SUBSTITUTE(B444,".",""),"/",""),"-","")," ",""),14))</f>
        <v>06230227000100</v>
      </c>
      <c r="D444" s="5" t="str">
        <f aca="false">IF(C444="","",MID(C444,1,2)&amp;"."&amp;MID(C444,3,3)&amp;"."&amp;MID(C444,6,3)&amp;"/"&amp;MID(C444,9,4)&amp;"-"&amp;MID(C444,13,2))</f>
        <v>06.230.227/0001-00</v>
      </c>
      <c r="E444" s="4" t="str">
        <f aca="false">IF(ISNA(MATCH(A444,cnpj!$A:$A,0)),"Lotação não existe na aba cnpj",IF(B444="","Sem CNPJ na aba cnpj","OK"))</f>
        <v>OK</v>
      </c>
    </row>
    <row r="445" customFormat="false" ht="15" hidden="false" customHeight="false" outlineLevel="0" collapsed="false">
      <c r="A445" s="4" t="n">
        <f aca="false">sisgi!A445</f>
        <v>94420</v>
      </c>
      <c r="B445" s="5" t="str">
        <f aca="false">IFERROR(IF(INDEX(cnpj!$B:$B,MATCH(A445,cnpj!$A:$A,0))="","",INDEX(cnpj!$B:$B,MATCH(A445,cnpj!$A:$A,0))),"")</f>
        <v>06.926.909/0001-51</v>
      </c>
      <c r="C445" s="5" t="str">
        <f aca="false">IF(B445="","",RIGHT("00000000000000"&amp;SUBSTITUTE(SUBSTITUTE(SUBSTITUTE(SUBSTITUTE(B445,".",""),"/",""),"-","")," ",""),14))</f>
        <v>06926909000151</v>
      </c>
      <c r="D445" s="5" t="str">
        <f aca="false">IF(C445="","",MID(C445,1,2)&amp;"."&amp;MID(C445,3,3)&amp;"."&amp;MID(C445,6,3)&amp;"/"&amp;MID(C445,9,4)&amp;"-"&amp;MID(C445,13,2))</f>
        <v>06.926.909/0001-51</v>
      </c>
      <c r="E445" s="4" t="str">
        <f aca="false">IF(ISNA(MATCH(A445,cnpj!$A:$A,0)),"Lotação não existe na aba cnpj",IF(B445="","Sem CNPJ na aba cnpj","OK"))</f>
        <v>OK</v>
      </c>
    </row>
    <row r="446" customFormat="false" ht="15" hidden="false" customHeight="false" outlineLevel="0" collapsed="false">
      <c r="A446" s="4" t="n">
        <f aca="false">sisgi!A446</f>
        <v>94439</v>
      </c>
      <c r="B446" s="5" t="str">
        <f aca="false">IFERROR(IF(INDEX(cnpj!$B:$B,MATCH(A446,cnpj!$A:$A,0))="","",INDEX(cnpj!$B:$B,MATCH(A446,cnpj!$A:$A,0))),"")</f>
        <v>07.473.224/0001-60</v>
      </c>
      <c r="C446" s="5" t="str">
        <f aca="false">IF(B446="","",RIGHT("00000000000000"&amp;SUBSTITUTE(SUBSTITUTE(SUBSTITUTE(SUBSTITUTE(B446,".",""),"/",""),"-","")," ",""),14))</f>
        <v>07473224000160</v>
      </c>
      <c r="D446" s="5" t="str">
        <f aca="false">IF(C446="","",MID(C446,1,2)&amp;"."&amp;MID(C446,3,3)&amp;"."&amp;MID(C446,6,3)&amp;"/"&amp;MID(C446,9,4)&amp;"-"&amp;MID(C446,13,2))</f>
        <v>07.473.224/0001-60</v>
      </c>
      <c r="E446" s="4" t="str">
        <f aca="false">IF(ISNA(MATCH(A446,cnpj!$A:$A,0)),"Lotação não existe na aba cnpj",IF(B446="","Sem CNPJ na aba cnpj","OK"))</f>
        <v>OK</v>
      </c>
    </row>
    <row r="447" customFormat="false" ht="15" hidden="false" customHeight="false" outlineLevel="0" collapsed="false">
      <c r="A447" s="4" t="n">
        <f aca="false">sisgi!A447</f>
        <v>96784</v>
      </c>
      <c r="B447" s="5" t="str">
        <f aca="false">IFERROR(IF(INDEX(cnpj!$B:$B,MATCH(A447,cnpj!$A:$A,0))="","",INDEX(cnpj!$B:$B,MATCH(A447,cnpj!$A:$A,0))),"")</f>
        <v>09.013.175/0001-08</v>
      </c>
      <c r="C447" s="5" t="str">
        <f aca="false">IF(B447="","",RIGHT("00000000000000"&amp;SUBSTITUTE(SUBSTITUTE(SUBSTITUTE(SUBSTITUTE(B447,".",""),"/",""),"-","")," ",""),14))</f>
        <v>09013175000108</v>
      </c>
      <c r="D447" s="5" t="str">
        <f aca="false">IF(C447="","",MID(C447,1,2)&amp;"."&amp;MID(C447,3,3)&amp;"."&amp;MID(C447,6,3)&amp;"/"&amp;MID(C447,9,4)&amp;"-"&amp;MID(C447,13,2))</f>
        <v>09.013.175/0001-08</v>
      </c>
      <c r="E447" s="4" t="str">
        <f aca="false">IF(ISNA(MATCH(A447,cnpj!$A:$A,0)),"Lotação não existe na aba cnpj",IF(B447="","Sem CNPJ na aba cnpj","OK"))</f>
        <v>OK</v>
      </c>
    </row>
    <row r="448" customFormat="false" ht="15" hidden="false" customHeight="false" outlineLevel="0" collapsed="false">
      <c r="A448" s="4" t="n">
        <f aca="false">sisgi!A448</f>
        <v>96865</v>
      </c>
      <c r="B448" s="5" t="str">
        <f aca="false">IFERROR(IF(INDEX(cnpj!$B:$B,MATCH(A448,cnpj!$A:$A,0))="","",INDEX(cnpj!$B:$B,MATCH(A448,cnpj!$A:$A,0))),"")</f>
        <v>07.478.358/0001-73</v>
      </c>
      <c r="C448" s="5" t="str">
        <f aca="false">IF(B448="","",RIGHT("00000000000000"&amp;SUBSTITUTE(SUBSTITUTE(SUBSTITUTE(SUBSTITUTE(B448,".",""),"/",""),"-","")," ",""),14))</f>
        <v>07478358000173</v>
      </c>
      <c r="D448" s="5" t="str">
        <f aca="false">IF(C448="","",MID(C448,1,2)&amp;"."&amp;MID(C448,3,3)&amp;"."&amp;MID(C448,6,3)&amp;"/"&amp;MID(C448,9,4)&amp;"-"&amp;MID(C448,13,2))</f>
        <v>07.478.358/0001-73</v>
      </c>
      <c r="E448" s="4" t="str">
        <f aca="false">IF(ISNA(MATCH(A448,cnpj!$A:$A,0)),"Lotação não existe na aba cnpj",IF(B448="","Sem CNPJ na aba cnpj","OK"))</f>
        <v>OK</v>
      </c>
    </row>
    <row r="449" customFormat="false" ht="15" hidden="false" customHeight="false" outlineLevel="0" collapsed="false">
      <c r="A449" s="4" t="n">
        <f aca="false">sisgi!A449</f>
        <v>97004</v>
      </c>
      <c r="B449" s="5" t="str">
        <f aca="false">IFERROR(IF(INDEX(cnpj!$B:$B,MATCH(A449,cnpj!$A:$A,0))="","",INDEX(cnpj!$B:$B,MATCH(A449,cnpj!$A:$A,0))),"")</f>
        <v>07.368.183/0001-41</v>
      </c>
      <c r="C449" s="5" t="str">
        <f aca="false">IF(B449="","",RIGHT("00000000000000"&amp;SUBSTITUTE(SUBSTITUTE(SUBSTITUTE(SUBSTITUTE(B449,".",""),"/",""),"-","")," ",""),14))</f>
        <v>07368183000141</v>
      </c>
      <c r="D449" s="5" t="str">
        <f aca="false">IF(C449="","",MID(C449,1,2)&amp;"."&amp;MID(C449,3,3)&amp;"."&amp;MID(C449,6,3)&amp;"/"&amp;MID(C449,9,4)&amp;"-"&amp;MID(C449,13,2))</f>
        <v>07.368.183/0001-41</v>
      </c>
      <c r="E449" s="4" t="str">
        <f aca="false">IF(ISNA(MATCH(A449,cnpj!$A:$A,0)),"Lotação não existe na aba cnpj",IF(B449="","Sem CNPJ na aba cnpj","OK"))</f>
        <v>OK</v>
      </c>
    </row>
    <row r="450" customFormat="false" ht="15" hidden="false" customHeight="false" outlineLevel="0" collapsed="false">
      <c r="A450" s="4" t="n">
        <f aca="false">sisgi!A450</f>
        <v>97012</v>
      </c>
      <c r="B450" s="5" t="str">
        <f aca="false">IFERROR(IF(INDEX(cnpj!$B:$B,MATCH(A450,cnpj!$A:$A,0))="","",INDEX(cnpj!$B:$B,MATCH(A450,cnpj!$A:$A,0))),"")</f>
        <v>07.508.969/0001-17</v>
      </c>
      <c r="C450" s="5" t="str">
        <f aca="false">IF(B450="","",RIGHT("00000000000000"&amp;SUBSTITUTE(SUBSTITUTE(SUBSTITUTE(SUBSTITUTE(B450,".",""),"/",""),"-","")," ",""),14))</f>
        <v>07508969000117</v>
      </c>
      <c r="D450" s="5" t="str">
        <f aca="false">IF(C450="","",MID(C450,1,2)&amp;"."&amp;MID(C450,3,3)&amp;"."&amp;MID(C450,6,3)&amp;"/"&amp;MID(C450,9,4)&amp;"-"&amp;MID(C450,13,2))</f>
        <v>07.508.969/0001-17</v>
      </c>
      <c r="E450" s="4" t="str">
        <f aca="false">IF(ISNA(MATCH(A450,cnpj!$A:$A,0)),"Lotação não existe na aba cnpj",IF(B450="","Sem CNPJ na aba cnpj","OK"))</f>
        <v>OK</v>
      </c>
    </row>
    <row r="451" customFormat="false" ht="15" hidden="false" customHeight="false" outlineLevel="0" collapsed="false">
      <c r="A451" s="4" t="n">
        <f aca="false">sisgi!A451</f>
        <v>102326</v>
      </c>
      <c r="B451" s="5" t="str">
        <f aca="false">IFERROR(IF(INDEX(cnpj!$B:$B,MATCH(A451,cnpj!$A:$A,0))="","",INDEX(cnpj!$B:$B,MATCH(A451,cnpj!$A:$A,0))),"")</f>
        <v>07.561.306/0001-66</v>
      </c>
      <c r="C451" s="5" t="str">
        <f aca="false">IF(B451="","",RIGHT("00000000000000"&amp;SUBSTITUTE(SUBSTITUTE(SUBSTITUTE(SUBSTITUTE(B451,".",""),"/",""),"-","")," ",""),14))</f>
        <v>07561306000166</v>
      </c>
      <c r="D451" s="5" t="str">
        <f aca="false">IF(C451="","",MID(C451,1,2)&amp;"."&amp;MID(C451,3,3)&amp;"."&amp;MID(C451,6,3)&amp;"/"&amp;MID(C451,9,4)&amp;"-"&amp;MID(C451,13,2))</f>
        <v>07.561.306/0001-66</v>
      </c>
      <c r="E451" s="4" t="str">
        <f aca="false">IF(ISNA(MATCH(A451,cnpj!$A:$A,0)),"Lotação não existe na aba cnpj",IF(B451="","Sem CNPJ na aba cnpj","OK"))</f>
        <v>OK</v>
      </c>
    </row>
    <row r="452" customFormat="false" ht="15" hidden="false" customHeight="false" outlineLevel="0" collapsed="false">
      <c r="A452" s="4" t="n">
        <f aca="false">sisgi!A452</f>
        <v>104230</v>
      </c>
      <c r="B452" s="5" t="str">
        <f aca="false">IFERROR(IF(INDEX(cnpj!$B:$B,MATCH(A452,cnpj!$A:$A,0))="","",INDEX(cnpj!$B:$B,MATCH(A452,cnpj!$A:$A,0))),"")</f>
        <v>07.272.764/0001-85</v>
      </c>
      <c r="C452" s="5" t="str">
        <f aca="false">IF(B452="","",RIGHT("00000000000000"&amp;SUBSTITUTE(SUBSTITUTE(SUBSTITUTE(SUBSTITUTE(B452,".",""),"/",""),"-","")," ",""),14))</f>
        <v>07272764000185</v>
      </c>
      <c r="D452" s="5" t="str">
        <f aca="false">IF(C452="","",MID(C452,1,2)&amp;"."&amp;MID(C452,3,3)&amp;"."&amp;MID(C452,6,3)&amp;"/"&amp;MID(C452,9,4)&amp;"-"&amp;MID(C452,13,2))</f>
        <v>07.272.764/0001-85</v>
      </c>
      <c r="E452" s="4" t="str">
        <f aca="false">IF(ISNA(MATCH(A452,cnpj!$A:$A,0)),"Lotação não existe na aba cnpj",IF(B452="","Sem CNPJ na aba cnpj","OK"))</f>
        <v>OK</v>
      </c>
    </row>
    <row r="453" customFormat="false" ht="15" hidden="false" customHeight="false" outlineLevel="0" collapsed="false">
      <c r="A453" s="4" t="n">
        <f aca="false">sisgi!A453</f>
        <v>104248</v>
      </c>
      <c r="B453" s="5" t="str">
        <f aca="false">IFERROR(IF(INDEX(cnpj!$B:$B,MATCH(A453,cnpj!$A:$A,0))="","",INDEX(cnpj!$B:$B,MATCH(A453,cnpj!$A:$A,0))),"")</f>
        <v>06.306.408/0001-72</v>
      </c>
      <c r="C453" s="5" t="str">
        <f aca="false">IF(B453="","",RIGHT("00000000000000"&amp;SUBSTITUTE(SUBSTITUTE(SUBSTITUTE(SUBSTITUTE(B453,".",""),"/",""),"-","")," ",""),14))</f>
        <v>06306408000172</v>
      </c>
      <c r="D453" s="5" t="str">
        <f aca="false">IF(C453="","",MID(C453,1,2)&amp;"."&amp;MID(C453,3,3)&amp;"."&amp;MID(C453,6,3)&amp;"/"&amp;MID(C453,9,4)&amp;"-"&amp;MID(C453,13,2))</f>
        <v>06.306.408/0001-72</v>
      </c>
      <c r="E453" s="4" t="str">
        <f aca="false">IF(ISNA(MATCH(A453,cnpj!$A:$A,0)),"Lotação não existe na aba cnpj",IF(B453="","Sem CNPJ na aba cnpj","OK"))</f>
        <v>OK</v>
      </c>
    </row>
    <row r="454" customFormat="false" ht="15" hidden="false" customHeight="false" outlineLevel="0" collapsed="false">
      <c r="A454" s="4" t="n">
        <f aca="false">sisgi!A454</f>
        <v>106020</v>
      </c>
      <c r="B454" s="5" t="str">
        <f aca="false">IFERROR(IF(INDEX(cnpj!$B:$B,MATCH(A454,cnpj!$A:$A,0))="","",INDEX(cnpj!$B:$B,MATCH(A454,cnpj!$A:$A,0))),"")</f>
        <v>07.536.860/0001-93</v>
      </c>
      <c r="C454" s="5" t="str">
        <f aca="false">IF(B454="","",RIGHT("00000000000000"&amp;SUBSTITUTE(SUBSTITUTE(SUBSTITUTE(SUBSTITUTE(B454,".",""),"/",""),"-","")," ",""),14))</f>
        <v>07536860000193</v>
      </c>
      <c r="D454" s="5" t="str">
        <f aca="false">IF(C454="","",MID(C454,1,2)&amp;"."&amp;MID(C454,3,3)&amp;"."&amp;MID(C454,6,3)&amp;"/"&amp;MID(C454,9,4)&amp;"-"&amp;MID(C454,13,2))</f>
        <v>07.536.860/0001-93</v>
      </c>
      <c r="E454" s="4" t="str">
        <f aca="false">IF(ISNA(MATCH(A454,cnpj!$A:$A,0)),"Lotação não existe na aba cnpj",IF(B454="","Sem CNPJ na aba cnpj","OK"))</f>
        <v>OK</v>
      </c>
    </row>
    <row r="455" customFormat="false" ht="15" hidden="false" customHeight="false" outlineLevel="0" collapsed="false">
      <c r="A455" s="4" t="n">
        <f aca="false">sisgi!A455</f>
        <v>107263</v>
      </c>
      <c r="B455" s="5" t="str">
        <f aca="false">IFERROR(IF(INDEX(cnpj!$B:$B,MATCH(A455,cnpj!$A:$A,0))="","",INDEX(cnpj!$B:$B,MATCH(A455,cnpj!$A:$A,0))),"")</f>
        <v>07.447.373/0001-54</v>
      </c>
      <c r="C455" s="5" t="str">
        <f aca="false">IF(B455="","",RIGHT("00000000000000"&amp;SUBSTITUTE(SUBSTITUTE(SUBSTITUTE(SUBSTITUTE(B455,".",""),"/",""),"-","")," ",""),14))</f>
        <v>07447373000154</v>
      </c>
      <c r="D455" s="5" t="str">
        <f aca="false">IF(C455="","",MID(C455,1,2)&amp;"."&amp;MID(C455,3,3)&amp;"."&amp;MID(C455,6,3)&amp;"/"&amp;MID(C455,9,4)&amp;"-"&amp;MID(C455,13,2))</f>
        <v>07.447.373/0001-54</v>
      </c>
      <c r="E455" s="4" t="str">
        <f aca="false">IF(ISNA(MATCH(A455,cnpj!$A:$A,0)),"Lotação não existe na aba cnpj",IF(B455="","Sem CNPJ na aba cnpj","OK"))</f>
        <v>OK</v>
      </c>
    </row>
    <row r="456" customFormat="false" ht="15" hidden="false" customHeight="false" outlineLevel="0" collapsed="false">
      <c r="A456" s="4" t="n">
        <f aca="false">sisgi!A456</f>
        <v>109436</v>
      </c>
      <c r="B456" s="5" t="str">
        <f aca="false">IFERROR(IF(INDEX(cnpj!$B:$B,MATCH(A456,cnpj!$A:$A,0))="","",INDEX(cnpj!$B:$B,MATCH(A456,cnpj!$A:$A,0))),"")</f>
        <v>07.982.169/0001-33</v>
      </c>
      <c r="C456" s="5" t="str">
        <f aca="false">IF(B456="","",RIGHT("00000000000000"&amp;SUBSTITUTE(SUBSTITUTE(SUBSTITUTE(SUBSTITUTE(B456,".",""),"/",""),"-","")," ",""),14))</f>
        <v>07982169000133</v>
      </c>
      <c r="D456" s="5" t="str">
        <f aca="false">IF(C456="","",MID(C456,1,2)&amp;"."&amp;MID(C456,3,3)&amp;"."&amp;MID(C456,6,3)&amp;"/"&amp;MID(C456,9,4)&amp;"-"&amp;MID(C456,13,2))</f>
        <v>07.982.169/0001-33</v>
      </c>
      <c r="E456" s="4" t="str">
        <f aca="false">IF(ISNA(MATCH(A456,cnpj!$A:$A,0)),"Lotação não existe na aba cnpj",IF(B456="","Sem CNPJ na aba cnpj","OK"))</f>
        <v>OK</v>
      </c>
    </row>
    <row r="457" customFormat="false" ht="15" hidden="false" customHeight="false" outlineLevel="0" collapsed="false">
      <c r="A457" s="4" t="n">
        <f aca="false">sisgi!A457</f>
        <v>109444</v>
      </c>
      <c r="B457" s="5" t="str">
        <f aca="false">IFERROR(IF(INDEX(cnpj!$B:$B,MATCH(A457,cnpj!$A:$A,0))="","",INDEX(cnpj!$B:$B,MATCH(A457,cnpj!$A:$A,0))),"")</f>
        <v>07.771.425/0001-43</v>
      </c>
      <c r="C457" s="5" t="str">
        <f aca="false">IF(B457="","",RIGHT("00000000000000"&amp;SUBSTITUTE(SUBSTITUTE(SUBSTITUTE(SUBSTITUTE(B457,".",""),"/",""),"-","")," ",""),14))</f>
        <v>07771425000143</v>
      </c>
      <c r="D457" s="5" t="str">
        <f aca="false">IF(C457="","",MID(C457,1,2)&amp;"."&amp;MID(C457,3,3)&amp;"."&amp;MID(C457,6,3)&amp;"/"&amp;MID(C457,9,4)&amp;"-"&amp;MID(C457,13,2))</f>
        <v>07.771.425/0001-43</v>
      </c>
      <c r="E457" s="4" t="str">
        <f aca="false">IF(ISNA(MATCH(A457,cnpj!$A:$A,0)),"Lotação não existe na aba cnpj",IF(B457="","Sem CNPJ na aba cnpj","OK"))</f>
        <v>OK</v>
      </c>
    </row>
    <row r="458" customFormat="false" ht="15" hidden="false" customHeight="false" outlineLevel="0" collapsed="false">
      <c r="A458" s="4" t="n">
        <f aca="false">sisgi!A458</f>
        <v>114553</v>
      </c>
      <c r="B458" s="5" t="str">
        <f aca="false">IFERROR(IF(INDEX(cnpj!$B:$B,MATCH(A458,cnpj!$A:$A,0))="","",INDEX(cnpj!$B:$B,MATCH(A458,cnpj!$A:$A,0))),"")</f>
        <v>08.296.740/0001-29</v>
      </c>
      <c r="C458" s="5" t="str">
        <f aca="false">IF(B458="","",RIGHT("00000000000000"&amp;SUBSTITUTE(SUBSTITUTE(SUBSTITUTE(SUBSTITUTE(B458,".",""),"/",""),"-","")," ",""),14))</f>
        <v>08296740000129</v>
      </c>
      <c r="D458" s="5" t="str">
        <f aca="false">IF(C458="","",MID(C458,1,2)&amp;"."&amp;MID(C458,3,3)&amp;"."&amp;MID(C458,6,3)&amp;"/"&amp;MID(C458,9,4)&amp;"-"&amp;MID(C458,13,2))</f>
        <v>08.296.740/0001-29</v>
      </c>
      <c r="E458" s="4" t="str">
        <f aca="false">IF(ISNA(MATCH(A458,cnpj!$A:$A,0)),"Lotação não existe na aba cnpj",IF(B458="","Sem CNPJ na aba cnpj","OK"))</f>
        <v>OK</v>
      </c>
    </row>
    <row r="459" customFormat="false" ht="15" hidden="false" customHeight="false" outlineLevel="0" collapsed="false">
      <c r="A459" s="4" t="n">
        <f aca="false">sisgi!A459</f>
        <v>114561</v>
      </c>
      <c r="B459" s="5" t="str">
        <f aca="false">IFERROR(IF(INDEX(cnpj!$B:$B,MATCH(A459,cnpj!$A:$A,0))="","",INDEX(cnpj!$B:$B,MATCH(A459,cnpj!$A:$A,0))),"")</f>
        <v>07.894.352/0001-87</v>
      </c>
      <c r="C459" s="5" t="str">
        <f aca="false">IF(B459="","",RIGHT("00000000000000"&amp;SUBSTITUTE(SUBSTITUTE(SUBSTITUTE(SUBSTITUTE(B459,".",""),"/",""),"-","")," ",""),14))</f>
        <v>07894352000187</v>
      </c>
      <c r="D459" s="5" t="str">
        <f aca="false">IF(C459="","",MID(C459,1,2)&amp;"."&amp;MID(C459,3,3)&amp;"."&amp;MID(C459,6,3)&amp;"/"&amp;MID(C459,9,4)&amp;"-"&amp;MID(C459,13,2))</f>
        <v>07.894.352/0001-87</v>
      </c>
      <c r="E459" s="4" t="str">
        <f aca="false">IF(ISNA(MATCH(A459,cnpj!$A:$A,0)),"Lotação não existe na aba cnpj",IF(B459="","Sem CNPJ na aba cnpj","OK"))</f>
        <v>OK</v>
      </c>
    </row>
    <row r="460" customFormat="false" ht="15" hidden="false" customHeight="false" outlineLevel="0" collapsed="false">
      <c r="A460" s="4" t="n">
        <f aca="false">sisgi!A460</f>
        <v>115231</v>
      </c>
      <c r="B460" s="5" t="str">
        <f aca="false">IFERROR(IF(INDEX(cnpj!$B:$B,MATCH(A460,cnpj!$A:$A,0))="","",INDEX(cnpj!$B:$B,MATCH(A460,cnpj!$A:$A,0))),"")</f>
        <v>10.194.699/0001-21</v>
      </c>
      <c r="C460" s="5" t="str">
        <f aca="false">IF(B460="","",RIGHT("00000000000000"&amp;SUBSTITUTE(SUBSTITUTE(SUBSTITUTE(SUBSTITUTE(B460,".",""),"/",""),"-","")," ",""),14))</f>
        <v>10194699000121</v>
      </c>
      <c r="D460" s="5" t="str">
        <f aca="false">IF(C460="","",MID(C460,1,2)&amp;"."&amp;MID(C460,3,3)&amp;"."&amp;MID(C460,6,3)&amp;"/"&amp;MID(C460,9,4)&amp;"-"&amp;MID(C460,13,2))</f>
        <v>10.194.699/0001-21</v>
      </c>
      <c r="E460" s="4" t="str">
        <f aca="false">IF(ISNA(MATCH(A460,cnpj!$A:$A,0)),"Lotação não existe na aba cnpj",IF(B460="","Sem CNPJ na aba cnpj","OK"))</f>
        <v>OK</v>
      </c>
    </row>
    <row r="461" customFormat="false" ht="15" hidden="false" customHeight="false" outlineLevel="0" collapsed="false">
      <c r="A461" s="4" t="n">
        <f aca="false">sisgi!A461</f>
        <v>116033</v>
      </c>
      <c r="B461" s="5" t="str">
        <f aca="false">IFERROR(IF(INDEX(cnpj!$B:$B,MATCH(A461,cnpj!$A:$A,0))="","",INDEX(cnpj!$B:$B,MATCH(A461,cnpj!$A:$A,0))),"")</f>
        <v/>
      </c>
      <c r="C461" s="5" t="str">
        <f aca="false">IF(B461="","",RIGHT("00000000000000"&amp;SUBSTITUTE(SUBSTITUTE(SUBSTITUTE(SUBSTITUTE(B461,".",""),"/",""),"-","")," ",""),14))</f>
        <v/>
      </c>
      <c r="D461" s="5" t="str">
        <f aca="false">IF(C461="","",MID(C461,1,2)&amp;"."&amp;MID(C461,3,3)&amp;"."&amp;MID(C461,6,3)&amp;"/"&amp;MID(C461,9,4)&amp;"-"&amp;MID(C461,13,2))</f>
        <v/>
      </c>
      <c r="E461" s="4" t="str">
        <f aca="false">IF(ISNA(MATCH(A461,cnpj!$A:$A,0)),"Lotação não existe na aba cnpj",IF(B461="","Sem CNPJ na aba cnpj","OK"))</f>
        <v>Lotação não existe na aba cnpj</v>
      </c>
    </row>
    <row r="462" customFormat="false" ht="15" hidden="false" customHeight="false" outlineLevel="0" collapsed="false">
      <c r="A462" s="4" t="n">
        <f aca="false">sisgi!A462</f>
        <v>117587</v>
      </c>
      <c r="B462" s="5" t="str">
        <f aca="false">IFERROR(IF(INDEX(cnpj!$B:$B,MATCH(A462,cnpj!$A:$A,0))="","",INDEX(cnpj!$B:$B,MATCH(A462,cnpj!$A:$A,0))),"")</f>
        <v>08.512.601/0001-95</v>
      </c>
      <c r="C462" s="5" t="str">
        <f aca="false">IF(B462="","",RIGHT("00000000000000"&amp;SUBSTITUTE(SUBSTITUTE(SUBSTITUTE(SUBSTITUTE(B462,".",""),"/",""),"-","")," ",""),14))</f>
        <v>08512601000195</v>
      </c>
      <c r="D462" s="5" t="str">
        <f aca="false">IF(C462="","",MID(C462,1,2)&amp;"."&amp;MID(C462,3,3)&amp;"."&amp;MID(C462,6,3)&amp;"/"&amp;MID(C462,9,4)&amp;"-"&amp;MID(C462,13,2))</f>
        <v>08.512.601/0001-95</v>
      </c>
      <c r="E462" s="4" t="str">
        <f aca="false">IF(ISNA(MATCH(A462,cnpj!$A:$A,0)),"Lotação não existe na aba cnpj",IF(B462="","Sem CNPJ na aba cnpj","OK"))</f>
        <v>OK</v>
      </c>
    </row>
    <row r="463" customFormat="false" ht="15" hidden="false" customHeight="false" outlineLevel="0" collapsed="false">
      <c r="A463" s="4" t="n">
        <f aca="false">sisgi!A463</f>
        <v>117595</v>
      </c>
      <c r="B463" s="5" t="str">
        <f aca="false">IFERROR(IF(INDEX(cnpj!$B:$B,MATCH(A463,cnpj!$A:$A,0))="","",INDEX(cnpj!$B:$B,MATCH(A463,cnpj!$A:$A,0))),"")</f>
        <v>08.240.722/0001-25</v>
      </c>
      <c r="C463" s="5" t="str">
        <f aca="false">IF(B463="","",RIGHT("00000000000000"&amp;SUBSTITUTE(SUBSTITUTE(SUBSTITUTE(SUBSTITUTE(B463,".",""),"/",""),"-","")," ",""),14))</f>
        <v>08240722000125</v>
      </c>
      <c r="D463" s="5" t="str">
        <f aca="false">IF(C463="","",MID(C463,1,2)&amp;"."&amp;MID(C463,3,3)&amp;"."&amp;MID(C463,6,3)&amp;"/"&amp;MID(C463,9,4)&amp;"-"&amp;MID(C463,13,2))</f>
        <v>08.240.722/0001-25</v>
      </c>
      <c r="E463" s="4" t="str">
        <f aca="false">IF(ISNA(MATCH(A463,cnpj!$A:$A,0)),"Lotação não existe na aba cnpj",IF(B463="","Sem CNPJ na aba cnpj","OK"))</f>
        <v>OK</v>
      </c>
    </row>
    <row r="464" customFormat="false" ht="15" hidden="false" customHeight="false" outlineLevel="0" collapsed="false">
      <c r="A464" s="4" t="n">
        <f aca="false">sisgi!A464</f>
        <v>118524</v>
      </c>
      <c r="B464" s="5" t="str">
        <f aca="false">IFERROR(IF(INDEX(cnpj!$B:$B,MATCH(A464,cnpj!$A:$A,0))="","",INDEX(cnpj!$B:$B,MATCH(A464,cnpj!$A:$A,0))),"")</f>
        <v>09.252.986/0001-61</v>
      </c>
      <c r="C464" s="5" t="str">
        <f aca="false">IF(B464="","",RIGHT("00000000000000"&amp;SUBSTITUTE(SUBSTITUTE(SUBSTITUTE(SUBSTITUTE(B464,".",""),"/",""),"-","")," ",""),14))</f>
        <v>09252986000161</v>
      </c>
      <c r="D464" s="5" t="str">
        <f aca="false">IF(C464="","",MID(C464,1,2)&amp;"."&amp;MID(C464,3,3)&amp;"."&amp;MID(C464,6,3)&amp;"/"&amp;MID(C464,9,4)&amp;"-"&amp;MID(C464,13,2))</f>
        <v>09.252.986/0001-61</v>
      </c>
      <c r="E464" s="4" t="str">
        <f aca="false">IF(ISNA(MATCH(A464,cnpj!$A:$A,0)),"Lotação não existe na aba cnpj",IF(B464="","Sem CNPJ na aba cnpj","OK"))</f>
        <v>OK</v>
      </c>
    </row>
    <row r="465" customFormat="false" ht="15" hidden="false" customHeight="false" outlineLevel="0" collapsed="false">
      <c r="A465" s="4" t="n">
        <f aca="false">sisgi!A465</f>
        <v>118532</v>
      </c>
      <c r="B465" s="5" t="str">
        <f aca="false">IFERROR(IF(INDEX(cnpj!$B:$B,MATCH(A465,cnpj!$A:$A,0))="","",INDEX(cnpj!$B:$B,MATCH(A465,cnpj!$A:$A,0))),"")</f>
        <v>10.175.899/0001-37</v>
      </c>
      <c r="C465" s="5" t="str">
        <f aca="false">IF(B465="","",RIGHT("00000000000000"&amp;SUBSTITUTE(SUBSTITUTE(SUBSTITUTE(SUBSTITUTE(B465,".",""),"/",""),"-","")," ",""),14))</f>
        <v>10175899000137</v>
      </c>
      <c r="D465" s="5" t="str">
        <f aca="false">IF(C465="","",MID(C465,1,2)&amp;"."&amp;MID(C465,3,3)&amp;"."&amp;MID(C465,6,3)&amp;"/"&amp;MID(C465,9,4)&amp;"-"&amp;MID(C465,13,2))</f>
        <v>10.175.899/0001-37</v>
      </c>
      <c r="E465" s="4" t="str">
        <f aca="false">IF(ISNA(MATCH(A465,cnpj!$A:$A,0)),"Lotação não existe na aba cnpj",IF(B465="","Sem CNPJ na aba cnpj","OK"))</f>
        <v>OK</v>
      </c>
    </row>
    <row r="466" customFormat="false" ht="15" hidden="false" customHeight="false" outlineLevel="0" collapsed="false">
      <c r="A466" s="4" t="n">
        <f aca="false">sisgi!A466</f>
        <v>118540</v>
      </c>
      <c r="B466" s="5" t="str">
        <f aca="false">IFERROR(IF(INDEX(cnpj!$B:$B,MATCH(A466,cnpj!$A:$A,0))="","",INDEX(cnpj!$B:$B,MATCH(A466,cnpj!$A:$A,0))),"")</f>
        <v>08.833.270/0001-95</v>
      </c>
      <c r="C466" s="5" t="str">
        <f aca="false">IF(B466="","",RIGHT("00000000000000"&amp;SUBSTITUTE(SUBSTITUTE(SUBSTITUTE(SUBSTITUTE(B466,".",""),"/",""),"-","")," ",""),14))</f>
        <v>08833270000195</v>
      </c>
      <c r="D466" s="5" t="str">
        <f aca="false">IF(C466="","",MID(C466,1,2)&amp;"."&amp;MID(C466,3,3)&amp;"."&amp;MID(C466,6,3)&amp;"/"&amp;MID(C466,9,4)&amp;"-"&amp;MID(C466,13,2))</f>
        <v>08.833.270/0001-95</v>
      </c>
      <c r="E466" s="4" t="str">
        <f aca="false">IF(ISNA(MATCH(A466,cnpj!$A:$A,0)),"Lotação não existe na aba cnpj",IF(B466="","Sem CNPJ na aba cnpj","OK"))</f>
        <v>OK</v>
      </c>
    </row>
    <row r="467" customFormat="false" ht="15" hidden="false" customHeight="false" outlineLevel="0" collapsed="false">
      <c r="A467" s="4" t="n">
        <f aca="false">sisgi!A467</f>
        <v>118559</v>
      </c>
      <c r="B467" s="5" t="str">
        <f aca="false">IFERROR(IF(INDEX(cnpj!$B:$B,MATCH(A467,cnpj!$A:$A,0))="","",INDEX(cnpj!$B:$B,MATCH(A467,cnpj!$A:$A,0))),"")</f>
        <v>07.965.677/0001-03</v>
      </c>
      <c r="C467" s="5" t="str">
        <f aca="false">IF(B467="","",RIGHT("00000000000000"&amp;SUBSTITUTE(SUBSTITUTE(SUBSTITUTE(SUBSTITUTE(B467,".",""),"/",""),"-","")," ",""),14))</f>
        <v>07965677000103</v>
      </c>
      <c r="D467" s="5" t="str">
        <f aca="false">IF(C467="","",MID(C467,1,2)&amp;"."&amp;MID(C467,3,3)&amp;"."&amp;MID(C467,6,3)&amp;"/"&amp;MID(C467,9,4)&amp;"-"&amp;MID(C467,13,2))</f>
        <v>07.965.677/0001-03</v>
      </c>
      <c r="E467" s="4" t="str">
        <f aca="false">IF(ISNA(MATCH(A467,cnpj!$A:$A,0)),"Lotação não existe na aba cnpj",IF(B467="","Sem CNPJ na aba cnpj","OK"))</f>
        <v>OK</v>
      </c>
    </row>
    <row r="468" customFormat="false" ht="15" hidden="false" customHeight="false" outlineLevel="0" collapsed="false">
      <c r="A468" s="4" t="n">
        <f aca="false">sisgi!A468</f>
        <v>119202</v>
      </c>
      <c r="B468" s="5" t="str">
        <f aca="false">IFERROR(IF(INDEX(cnpj!$B:$B,MATCH(A468,cnpj!$A:$A,0))="","",INDEX(cnpj!$B:$B,MATCH(A468,cnpj!$A:$A,0))),"")</f>
        <v>11.360.182/0001-28</v>
      </c>
      <c r="C468" s="5" t="str">
        <f aca="false">IF(B468="","",RIGHT("00000000000000"&amp;SUBSTITUTE(SUBSTITUTE(SUBSTITUTE(SUBSTITUTE(B468,".",""),"/",""),"-","")," ",""),14))</f>
        <v>11360182000128</v>
      </c>
      <c r="D468" s="5" t="str">
        <f aca="false">IF(C468="","",MID(C468,1,2)&amp;"."&amp;MID(C468,3,3)&amp;"."&amp;MID(C468,6,3)&amp;"/"&amp;MID(C468,9,4)&amp;"-"&amp;MID(C468,13,2))</f>
        <v>11.360.182/0001-28</v>
      </c>
      <c r="E468" s="4" t="str">
        <f aca="false">IF(ISNA(MATCH(A468,cnpj!$A:$A,0)),"Lotação não existe na aba cnpj",IF(B468="","Sem CNPJ na aba cnpj","OK"))</f>
        <v>OK</v>
      </c>
    </row>
    <row r="469" customFormat="false" ht="15" hidden="false" customHeight="false" outlineLevel="0" collapsed="false">
      <c r="A469" s="4" t="n">
        <f aca="false">sisgi!A469</f>
        <v>119229</v>
      </c>
      <c r="B469" s="5" t="str">
        <f aca="false">IFERROR(IF(INDEX(cnpj!$B:$B,MATCH(A469,cnpj!$A:$A,0))="","",INDEX(cnpj!$B:$B,MATCH(A469,cnpj!$A:$A,0))),"")</f>
        <v>08.471.570/0001-71</v>
      </c>
      <c r="C469" s="5" t="str">
        <f aca="false">IF(B469="","",RIGHT("00000000000000"&amp;SUBSTITUTE(SUBSTITUTE(SUBSTITUTE(SUBSTITUTE(B469,".",""),"/",""),"-","")," ",""),14))</f>
        <v>08471570000171</v>
      </c>
      <c r="D469" s="5" t="str">
        <f aca="false">IF(C469="","",MID(C469,1,2)&amp;"."&amp;MID(C469,3,3)&amp;"."&amp;MID(C469,6,3)&amp;"/"&amp;MID(C469,9,4)&amp;"-"&amp;MID(C469,13,2))</f>
        <v>08.471.570/0001-71</v>
      </c>
      <c r="E469" s="4" t="str">
        <f aca="false">IF(ISNA(MATCH(A469,cnpj!$A:$A,0)),"Lotação não existe na aba cnpj",IF(B469="","Sem CNPJ na aba cnpj","OK"))</f>
        <v>OK</v>
      </c>
    </row>
    <row r="470" customFormat="false" ht="15" hidden="false" customHeight="false" outlineLevel="0" collapsed="false">
      <c r="A470" s="4" t="n">
        <f aca="false">sisgi!A470</f>
        <v>119237</v>
      </c>
      <c r="B470" s="5" t="str">
        <f aca="false">IFERROR(IF(INDEX(cnpj!$B:$B,MATCH(A470,cnpj!$A:$A,0))="","",INDEX(cnpj!$B:$B,MATCH(A470,cnpj!$A:$A,0))),"")</f>
        <v>08.194.018/0001-83</v>
      </c>
      <c r="C470" s="5" t="str">
        <f aca="false">IF(B470="","",RIGHT("00000000000000"&amp;SUBSTITUTE(SUBSTITUTE(SUBSTITUTE(SUBSTITUTE(B470,".",""),"/",""),"-","")," ",""),14))</f>
        <v>08194018000183</v>
      </c>
      <c r="D470" s="5" t="str">
        <f aca="false">IF(C470="","",MID(C470,1,2)&amp;"."&amp;MID(C470,3,3)&amp;"."&amp;MID(C470,6,3)&amp;"/"&amp;MID(C470,9,4)&amp;"-"&amp;MID(C470,13,2))</f>
        <v>08.194.018/0001-83</v>
      </c>
      <c r="E470" s="4" t="str">
        <f aca="false">IF(ISNA(MATCH(A470,cnpj!$A:$A,0)),"Lotação não existe na aba cnpj",IF(B470="","Sem CNPJ na aba cnpj","OK"))</f>
        <v>OK</v>
      </c>
    </row>
    <row r="471" customFormat="false" ht="15" hidden="false" customHeight="false" outlineLevel="0" collapsed="false">
      <c r="A471" s="4" t="n">
        <f aca="false">sisgi!A471</f>
        <v>120936</v>
      </c>
      <c r="B471" s="5" t="str">
        <f aca="false">IFERROR(IF(INDEX(cnpj!$B:$B,MATCH(A471,cnpj!$A:$A,0))="","",INDEX(cnpj!$B:$B,MATCH(A471,cnpj!$A:$A,0))),"")</f>
        <v>04.596.640/0001-67</v>
      </c>
      <c r="C471" s="5" t="str">
        <f aca="false">IF(B471="","",RIGHT("00000000000000"&amp;SUBSTITUTE(SUBSTITUTE(SUBSTITUTE(SUBSTITUTE(B471,".",""),"/",""),"-","")," ",""),14))</f>
        <v>04596640000167</v>
      </c>
      <c r="D471" s="5" t="str">
        <f aca="false">IF(C471="","",MID(C471,1,2)&amp;"."&amp;MID(C471,3,3)&amp;"."&amp;MID(C471,6,3)&amp;"/"&amp;MID(C471,9,4)&amp;"-"&amp;MID(C471,13,2))</f>
        <v>04.596.640/0001-67</v>
      </c>
      <c r="E471" s="4" t="str">
        <f aca="false">IF(ISNA(MATCH(A471,cnpj!$A:$A,0)),"Lotação não existe na aba cnpj",IF(B471="","Sem CNPJ na aba cnpj","OK"))</f>
        <v>OK</v>
      </c>
    </row>
    <row r="472" customFormat="false" ht="15" hidden="false" customHeight="false" outlineLevel="0" collapsed="false">
      <c r="A472" s="4" t="n">
        <f aca="false">sisgi!A472</f>
        <v>120979</v>
      </c>
      <c r="B472" s="5" t="str">
        <f aca="false">IFERROR(IF(INDEX(cnpj!$B:$B,MATCH(A472,cnpj!$A:$A,0))="","",INDEX(cnpj!$B:$B,MATCH(A472,cnpj!$A:$A,0))),"")</f>
        <v>08.916.037/0001-76</v>
      </c>
      <c r="C472" s="5" t="str">
        <f aca="false">IF(B472="","",RIGHT("00000000000000"&amp;SUBSTITUTE(SUBSTITUTE(SUBSTITUTE(SUBSTITUTE(B472,".",""),"/",""),"-","")," ",""),14))</f>
        <v>08916037000176</v>
      </c>
      <c r="D472" s="5" t="str">
        <f aca="false">IF(C472="","",MID(C472,1,2)&amp;"."&amp;MID(C472,3,3)&amp;"."&amp;MID(C472,6,3)&amp;"/"&amp;MID(C472,9,4)&amp;"-"&amp;MID(C472,13,2))</f>
        <v>08.916.037/0001-76</v>
      </c>
      <c r="E472" s="4" t="str">
        <f aca="false">IF(ISNA(MATCH(A472,cnpj!$A:$A,0)),"Lotação não existe na aba cnpj",IF(B472="","Sem CNPJ na aba cnpj","OK"))</f>
        <v>OK</v>
      </c>
    </row>
    <row r="473" customFormat="false" ht="15" hidden="false" customHeight="false" outlineLevel="0" collapsed="false">
      <c r="A473" s="4" t="n">
        <f aca="false">sisgi!A473</f>
        <v>123013</v>
      </c>
      <c r="B473" s="5" t="str">
        <f aca="false">IFERROR(IF(INDEX(cnpj!$B:$B,MATCH(A473,cnpj!$A:$A,0))="","",INDEX(cnpj!$B:$B,MATCH(A473,cnpj!$A:$A,0))),"")</f>
        <v>08.681.586/0001-09</v>
      </c>
      <c r="C473" s="5" t="str">
        <f aca="false">IF(B473="","",RIGHT("00000000000000"&amp;SUBSTITUTE(SUBSTITUTE(SUBSTITUTE(SUBSTITUTE(B473,".",""),"/",""),"-","")," ",""),14))</f>
        <v>08681586000109</v>
      </c>
      <c r="D473" s="5" t="str">
        <f aca="false">IF(C473="","",MID(C473,1,2)&amp;"."&amp;MID(C473,3,3)&amp;"."&amp;MID(C473,6,3)&amp;"/"&amp;MID(C473,9,4)&amp;"-"&amp;MID(C473,13,2))</f>
        <v>08.681.586/0001-09</v>
      </c>
      <c r="E473" s="4" t="str">
        <f aca="false">IF(ISNA(MATCH(A473,cnpj!$A:$A,0)),"Lotação não existe na aba cnpj",IF(B473="","Sem CNPJ na aba cnpj","OK"))</f>
        <v>OK</v>
      </c>
    </row>
    <row r="474" customFormat="false" ht="15" hidden="false" customHeight="false" outlineLevel="0" collapsed="false">
      <c r="A474" s="4" t="n">
        <f aca="false">sisgi!A474</f>
        <v>123021</v>
      </c>
      <c r="B474" s="5" t="str">
        <f aca="false">IFERROR(IF(INDEX(cnpj!$B:$B,MATCH(A474,cnpj!$A:$A,0))="","",INDEX(cnpj!$B:$B,MATCH(A474,cnpj!$A:$A,0))),"")</f>
        <v>08.629.238/0001-92</v>
      </c>
      <c r="C474" s="5" t="str">
        <f aca="false">IF(B474="","",RIGHT("00000000000000"&amp;SUBSTITUTE(SUBSTITUTE(SUBSTITUTE(SUBSTITUTE(B474,".",""),"/",""),"-","")," ",""),14))</f>
        <v>08629238000192</v>
      </c>
      <c r="D474" s="5" t="str">
        <f aca="false">IF(C474="","",MID(C474,1,2)&amp;"."&amp;MID(C474,3,3)&amp;"."&amp;MID(C474,6,3)&amp;"/"&amp;MID(C474,9,4)&amp;"-"&amp;MID(C474,13,2))</f>
        <v>08.629.238/0001-92</v>
      </c>
      <c r="E474" s="4" t="str">
        <f aca="false">IF(ISNA(MATCH(A474,cnpj!$A:$A,0)),"Lotação não existe na aba cnpj",IF(B474="","Sem CNPJ na aba cnpj","OK"))</f>
        <v>OK</v>
      </c>
    </row>
    <row r="475" customFormat="false" ht="15" hidden="false" customHeight="false" outlineLevel="0" collapsed="false">
      <c r="A475" s="4" t="n">
        <f aca="false">sisgi!A475</f>
        <v>123986</v>
      </c>
      <c r="B475" s="5" t="str">
        <f aca="false">IFERROR(IF(INDEX(cnpj!$B:$B,MATCH(A475,cnpj!$A:$A,0))="","",INDEX(cnpj!$B:$B,MATCH(A475,cnpj!$A:$A,0))),"")</f>
        <v>08.817.624/0001-08</v>
      </c>
      <c r="C475" s="5" t="str">
        <f aca="false">IF(B475="","",RIGHT("00000000000000"&amp;SUBSTITUTE(SUBSTITUTE(SUBSTITUTE(SUBSTITUTE(B475,".",""),"/",""),"-","")," ",""),14))</f>
        <v>08817624000108</v>
      </c>
      <c r="D475" s="5" t="str">
        <f aca="false">IF(C475="","",MID(C475,1,2)&amp;"."&amp;MID(C475,3,3)&amp;"."&amp;MID(C475,6,3)&amp;"/"&amp;MID(C475,9,4)&amp;"-"&amp;MID(C475,13,2))</f>
        <v>08.817.624/0001-08</v>
      </c>
      <c r="E475" s="4" t="str">
        <f aca="false">IF(ISNA(MATCH(A475,cnpj!$A:$A,0)),"Lotação não existe na aba cnpj",IF(B475="","Sem CNPJ na aba cnpj","OK"))</f>
        <v>OK</v>
      </c>
    </row>
    <row r="476" customFormat="false" ht="15" hidden="false" customHeight="false" outlineLevel="0" collapsed="false">
      <c r="A476" s="4" t="n">
        <f aca="false">sisgi!A476</f>
        <v>123994</v>
      </c>
      <c r="B476" s="5" t="str">
        <f aca="false">IFERROR(IF(INDEX(cnpj!$B:$B,MATCH(A476,cnpj!$A:$A,0))="","",INDEX(cnpj!$B:$B,MATCH(A476,cnpj!$A:$A,0))),"")</f>
        <v>09.001.974/0001-64</v>
      </c>
      <c r="C476" s="5" t="str">
        <f aca="false">IF(B476="","",RIGHT("00000000000000"&amp;SUBSTITUTE(SUBSTITUTE(SUBSTITUTE(SUBSTITUTE(B476,".",""),"/",""),"-","")," ",""),14))</f>
        <v>09001974000164</v>
      </c>
      <c r="D476" s="5" t="str">
        <f aca="false">IF(C476="","",MID(C476,1,2)&amp;"."&amp;MID(C476,3,3)&amp;"."&amp;MID(C476,6,3)&amp;"/"&amp;MID(C476,9,4)&amp;"-"&amp;MID(C476,13,2))</f>
        <v>09.001.974/0001-64</v>
      </c>
      <c r="E476" s="4" t="str">
        <f aca="false">IF(ISNA(MATCH(A476,cnpj!$A:$A,0)),"Lotação não existe na aba cnpj",IF(B476="","Sem CNPJ na aba cnpj","OK"))</f>
        <v>OK</v>
      </c>
    </row>
    <row r="477" customFormat="false" ht="15" hidden="false" customHeight="false" outlineLevel="0" collapsed="false">
      <c r="A477" s="4" t="n">
        <f aca="false">sisgi!A477</f>
        <v>124001</v>
      </c>
      <c r="B477" s="5" t="str">
        <f aca="false">IFERROR(IF(INDEX(cnpj!$B:$B,MATCH(A477,cnpj!$A:$A,0))="","",INDEX(cnpj!$B:$B,MATCH(A477,cnpj!$A:$A,0))),"")</f>
        <v>08.976.596/0001-71</v>
      </c>
      <c r="C477" s="5" t="str">
        <f aca="false">IF(B477="","",RIGHT("00000000000000"&amp;SUBSTITUTE(SUBSTITUTE(SUBSTITUTE(SUBSTITUTE(B477,".",""),"/",""),"-","")," ",""),14))</f>
        <v>08976596000171</v>
      </c>
      <c r="D477" s="5" t="str">
        <f aca="false">IF(C477="","",MID(C477,1,2)&amp;"."&amp;MID(C477,3,3)&amp;"."&amp;MID(C477,6,3)&amp;"/"&amp;MID(C477,9,4)&amp;"-"&amp;MID(C477,13,2))</f>
        <v>08.976.596/0001-71</v>
      </c>
      <c r="E477" s="4" t="str">
        <f aca="false">IF(ISNA(MATCH(A477,cnpj!$A:$A,0)),"Lotação não existe na aba cnpj",IF(B477="","Sem CNPJ na aba cnpj","OK"))</f>
        <v>OK</v>
      </c>
    </row>
    <row r="478" customFormat="false" ht="15" hidden="false" customHeight="false" outlineLevel="0" collapsed="false">
      <c r="A478" s="4" t="n">
        <f aca="false">sisgi!A478</f>
        <v>124010</v>
      </c>
      <c r="B478" s="5" t="str">
        <f aca="false">IFERROR(IF(INDEX(cnpj!$B:$B,MATCH(A478,cnpj!$A:$A,0))="","",INDEX(cnpj!$B:$B,MATCH(A478,cnpj!$A:$A,0))),"")</f>
        <v>08.673.240/0001-69</v>
      </c>
      <c r="C478" s="5" t="str">
        <f aca="false">IF(B478="","",RIGHT("00000000000000"&amp;SUBSTITUTE(SUBSTITUTE(SUBSTITUTE(SUBSTITUTE(B478,".",""),"/",""),"-","")," ",""),14))</f>
        <v>08673240000169</v>
      </c>
      <c r="D478" s="5" t="str">
        <f aca="false">IF(C478="","",MID(C478,1,2)&amp;"."&amp;MID(C478,3,3)&amp;"."&amp;MID(C478,6,3)&amp;"/"&amp;MID(C478,9,4)&amp;"-"&amp;MID(C478,13,2))</f>
        <v>08.673.240/0001-69</v>
      </c>
      <c r="E478" s="4" t="str">
        <f aca="false">IF(ISNA(MATCH(A478,cnpj!$A:$A,0)),"Lotação não existe na aba cnpj",IF(B478="","Sem CNPJ na aba cnpj","OK"))</f>
        <v>OK</v>
      </c>
    </row>
    <row r="479" customFormat="false" ht="15" hidden="false" customHeight="false" outlineLevel="0" collapsed="false">
      <c r="A479" s="4" t="n">
        <f aca="false">sisgi!A479</f>
        <v>124028</v>
      </c>
      <c r="B479" s="5" t="str">
        <f aca="false">IFERROR(IF(INDEX(cnpj!$B:$B,MATCH(A479,cnpj!$A:$A,0))="","",INDEX(cnpj!$B:$B,MATCH(A479,cnpj!$A:$A,0))),"")</f>
        <v>08.700.330/0001-00</v>
      </c>
      <c r="C479" s="5" t="str">
        <f aca="false">IF(B479="","",RIGHT("00000000000000"&amp;SUBSTITUTE(SUBSTITUTE(SUBSTITUTE(SUBSTITUTE(B479,".",""),"/",""),"-","")," ",""),14))</f>
        <v>08700330000100</v>
      </c>
      <c r="D479" s="5" t="str">
        <f aca="false">IF(C479="","",MID(C479,1,2)&amp;"."&amp;MID(C479,3,3)&amp;"."&amp;MID(C479,6,3)&amp;"/"&amp;MID(C479,9,4)&amp;"-"&amp;MID(C479,13,2))</f>
        <v>08.700.330/0001-00</v>
      </c>
      <c r="E479" s="4" t="str">
        <f aca="false">IF(ISNA(MATCH(A479,cnpj!$A:$A,0)),"Lotação não existe na aba cnpj",IF(B479="","Sem CNPJ na aba cnpj","OK"))</f>
        <v>OK</v>
      </c>
    </row>
    <row r="480" customFormat="false" ht="15" hidden="false" customHeight="false" outlineLevel="0" collapsed="false">
      <c r="A480" s="4" t="n">
        <f aca="false">sisgi!A480</f>
        <v>124044</v>
      </c>
      <c r="B480" s="5" t="str">
        <f aca="false">IFERROR(IF(INDEX(cnpj!$B:$B,MATCH(A480,cnpj!$A:$A,0))="","",INDEX(cnpj!$B:$B,MATCH(A480,cnpj!$A:$A,0))),"")</f>
        <v>08.878.966/0001-38</v>
      </c>
      <c r="C480" s="5" t="str">
        <f aca="false">IF(B480="","",RIGHT("00000000000000"&amp;SUBSTITUTE(SUBSTITUTE(SUBSTITUTE(SUBSTITUTE(B480,".",""),"/",""),"-","")," ",""),14))</f>
        <v>08878966000138</v>
      </c>
      <c r="D480" s="5" t="str">
        <f aca="false">IF(C480="","",MID(C480,1,2)&amp;"."&amp;MID(C480,3,3)&amp;"."&amp;MID(C480,6,3)&amp;"/"&amp;MID(C480,9,4)&amp;"-"&amp;MID(C480,13,2))</f>
        <v>08.878.966/0001-38</v>
      </c>
      <c r="E480" s="4" t="str">
        <f aca="false">IF(ISNA(MATCH(A480,cnpj!$A:$A,0)),"Lotação não existe na aba cnpj",IF(B480="","Sem CNPJ na aba cnpj","OK"))</f>
        <v>OK</v>
      </c>
    </row>
    <row r="481" customFormat="false" ht="15" hidden="false" customHeight="false" outlineLevel="0" collapsed="false">
      <c r="A481" s="4" t="n">
        <f aca="false">sisgi!A481</f>
        <v>124052</v>
      </c>
      <c r="B481" s="5" t="str">
        <f aca="false">IFERROR(IF(INDEX(cnpj!$B:$B,MATCH(A481,cnpj!$A:$A,0))="","",INDEX(cnpj!$B:$B,MATCH(A481,cnpj!$A:$A,0))),"")</f>
        <v>09.008.215/0001-23</v>
      </c>
      <c r="C481" s="5" t="str">
        <f aca="false">IF(B481="","",RIGHT("00000000000000"&amp;SUBSTITUTE(SUBSTITUTE(SUBSTITUTE(SUBSTITUTE(B481,".",""),"/",""),"-","")," ",""),14))</f>
        <v>09008215000123</v>
      </c>
      <c r="D481" s="5" t="str">
        <f aca="false">IF(C481="","",MID(C481,1,2)&amp;"."&amp;MID(C481,3,3)&amp;"."&amp;MID(C481,6,3)&amp;"/"&amp;MID(C481,9,4)&amp;"-"&amp;MID(C481,13,2))</f>
        <v>09.008.215/0001-23</v>
      </c>
      <c r="E481" s="4" t="str">
        <f aca="false">IF(ISNA(MATCH(A481,cnpj!$A:$A,0)),"Lotação não existe na aba cnpj",IF(B481="","Sem CNPJ na aba cnpj","OK"))</f>
        <v>OK</v>
      </c>
    </row>
    <row r="482" customFormat="false" ht="15" hidden="false" customHeight="false" outlineLevel="0" collapsed="false">
      <c r="A482" s="4" t="n">
        <f aca="false">sisgi!A482</f>
        <v>124060</v>
      </c>
      <c r="B482" s="5" t="str">
        <f aca="false">IFERROR(IF(INDEX(cnpj!$B:$B,MATCH(A482,cnpj!$A:$A,0))="","",INDEX(cnpj!$B:$B,MATCH(A482,cnpj!$A:$A,0))),"")</f>
        <v>02.016.112/0001-66</v>
      </c>
      <c r="C482" s="5" t="str">
        <f aca="false">IF(B482="","",RIGHT("00000000000000"&amp;SUBSTITUTE(SUBSTITUTE(SUBSTITUTE(SUBSTITUTE(B482,".",""),"/",""),"-","")," ",""),14))</f>
        <v>02016112000166</v>
      </c>
      <c r="D482" s="5" t="str">
        <f aca="false">IF(C482="","",MID(C482,1,2)&amp;"."&amp;MID(C482,3,3)&amp;"."&amp;MID(C482,6,3)&amp;"/"&amp;MID(C482,9,4)&amp;"-"&amp;MID(C482,13,2))</f>
        <v>02.016.112/0001-66</v>
      </c>
      <c r="E482" s="4" t="str">
        <f aca="false">IF(ISNA(MATCH(A482,cnpj!$A:$A,0)),"Lotação não existe na aba cnpj",IF(B482="","Sem CNPJ na aba cnpj","OK"))</f>
        <v>OK</v>
      </c>
    </row>
    <row r="483" customFormat="false" ht="15" hidden="false" customHeight="false" outlineLevel="0" collapsed="false">
      <c r="A483" s="4" t="n">
        <f aca="false">sisgi!A483</f>
        <v>124079</v>
      </c>
      <c r="B483" s="5" t="str">
        <f aca="false">IFERROR(IF(INDEX(cnpj!$B:$B,MATCH(A483,cnpj!$A:$A,0))="","",INDEX(cnpj!$B:$B,MATCH(A483,cnpj!$A:$A,0))),"")</f>
        <v>07.552.594/0001-92</v>
      </c>
      <c r="C483" s="5" t="str">
        <f aca="false">IF(B483="","",RIGHT("00000000000000"&amp;SUBSTITUTE(SUBSTITUTE(SUBSTITUTE(SUBSTITUTE(B483,".",""),"/",""),"-","")," ",""),14))</f>
        <v>07552594000192</v>
      </c>
      <c r="D483" s="5" t="str">
        <f aca="false">IF(C483="","",MID(C483,1,2)&amp;"."&amp;MID(C483,3,3)&amp;"."&amp;MID(C483,6,3)&amp;"/"&amp;MID(C483,9,4)&amp;"-"&amp;MID(C483,13,2))</f>
        <v>07.552.594/0001-92</v>
      </c>
      <c r="E483" s="4" t="str">
        <f aca="false">IF(ISNA(MATCH(A483,cnpj!$A:$A,0)),"Lotação não existe na aba cnpj",IF(B483="","Sem CNPJ na aba cnpj","OK"))</f>
        <v>OK</v>
      </c>
    </row>
    <row r="484" customFormat="false" ht="15" hidden="false" customHeight="false" outlineLevel="0" collapsed="false">
      <c r="A484" s="4" t="n">
        <f aca="false">sisgi!A484</f>
        <v>124087</v>
      </c>
      <c r="B484" s="5" t="str">
        <f aca="false">IFERROR(IF(INDEX(cnpj!$B:$B,MATCH(A484,cnpj!$A:$A,0))="","",INDEX(cnpj!$B:$B,MATCH(A484,cnpj!$A:$A,0))),"")</f>
        <v>08.907.332/0001-66</v>
      </c>
      <c r="C484" s="5" t="str">
        <f aca="false">IF(B484="","",RIGHT("00000000000000"&amp;SUBSTITUTE(SUBSTITUTE(SUBSTITUTE(SUBSTITUTE(B484,".",""),"/",""),"-","")," ",""),14))</f>
        <v>08907332000166</v>
      </c>
      <c r="D484" s="5" t="str">
        <f aca="false">IF(C484="","",MID(C484,1,2)&amp;"."&amp;MID(C484,3,3)&amp;"."&amp;MID(C484,6,3)&amp;"/"&amp;MID(C484,9,4)&amp;"-"&amp;MID(C484,13,2))</f>
        <v>08.907.332/0001-66</v>
      </c>
      <c r="E484" s="4" t="str">
        <f aca="false">IF(ISNA(MATCH(A484,cnpj!$A:$A,0)),"Lotação não existe na aba cnpj",IF(B484="","Sem CNPJ na aba cnpj","OK"))</f>
        <v>OK</v>
      </c>
    </row>
    <row r="485" customFormat="false" ht="15" hidden="false" customHeight="false" outlineLevel="0" collapsed="false">
      <c r="A485" s="4" t="n">
        <f aca="false">sisgi!A485</f>
        <v>124109</v>
      </c>
      <c r="B485" s="5" t="str">
        <f aca="false">IFERROR(IF(INDEX(cnpj!$B:$B,MATCH(A485,cnpj!$A:$A,0))="","",INDEX(cnpj!$B:$B,MATCH(A485,cnpj!$A:$A,0))),"")</f>
        <v>05.156.378/0001-00</v>
      </c>
      <c r="C485" s="5" t="str">
        <f aca="false">IF(B485="","",RIGHT("00000000000000"&amp;SUBSTITUTE(SUBSTITUTE(SUBSTITUTE(SUBSTITUTE(B485,".",""),"/",""),"-","")," ",""),14))</f>
        <v>05156378000100</v>
      </c>
      <c r="D485" s="5" t="str">
        <f aca="false">IF(C485="","",MID(C485,1,2)&amp;"."&amp;MID(C485,3,3)&amp;"."&amp;MID(C485,6,3)&amp;"/"&amp;MID(C485,9,4)&amp;"-"&amp;MID(C485,13,2))</f>
        <v>05.156.378/0001-00</v>
      </c>
      <c r="E485" s="4" t="str">
        <f aca="false">IF(ISNA(MATCH(A485,cnpj!$A:$A,0)),"Lotação não existe na aba cnpj",IF(B485="","Sem CNPJ na aba cnpj","OK"))</f>
        <v>OK</v>
      </c>
    </row>
    <row r="486" customFormat="false" ht="15" hidden="false" customHeight="false" outlineLevel="0" collapsed="false">
      <c r="A486" s="4" t="n">
        <f aca="false">sisgi!A486</f>
        <v>124850</v>
      </c>
      <c r="B486" s="5" t="str">
        <f aca="false">IFERROR(IF(INDEX(cnpj!$B:$B,MATCH(A486,cnpj!$A:$A,0))="","",INDEX(cnpj!$B:$B,MATCH(A486,cnpj!$A:$A,0))),"")</f>
        <v>08.610.196/0001-48</v>
      </c>
      <c r="C486" s="5" t="str">
        <f aca="false">IF(B486="","",RIGHT("00000000000000"&amp;SUBSTITUTE(SUBSTITUTE(SUBSTITUTE(SUBSTITUTE(B486,".",""),"/",""),"-","")," ",""),14))</f>
        <v>08610196000148</v>
      </c>
      <c r="D486" s="5" t="str">
        <f aca="false">IF(C486="","",MID(C486,1,2)&amp;"."&amp;MID(C486,3,3)&amp;"."&amp;MID(C486,6,3)&amp;"/"&amp;MID(C486,9,4)&amp;"-"&amp;MID(C486,13,2))</f>
        <v>08.610.196/0001-48</v>
      </c>
      <c r="E486" s="4" t="str">
        <f aca="false">IF(ISNA(MATCH(A486,cnpj!$A:$A,0)),"Lotação não existe na aba cnpj",IF(B486="","Sem CNPJ na aba cnpj","OK"))</f>
        <v>OK</v>
      </c>
    </row>
    <row r="487" customFormat="false" ht="15" hidden="false" customHeight="false" outlineLevel="0" collapsed="false">
      <c r="A487" s="4" t="n">
        <f aca="false">sisgi!A487</f>
        <v>124869</v>
      </c>
      <c r="B487" s="5" t="str">
        <f aca="false">IFERROR(IF(INDEX(cnpj!$B:$B,MATCH(A487,cnpj!$A:$A,0))="","",INDEX(cnpj!$B:$B,MATCH(A487,cnpj!$A:$A,0))),"")</f>
        <v>08.818.699/0001-03</v>
      </c>
      <c r="C487" s="5" t="str">
        <f aca="false">IF(B487="","",RIGHT("00000000000000"&amp;SUBSTITUTE(SUBSTITUTE(SUBSTITUTE(SUBSTITUTE(B487,".",""),"/",""),"-","")," ",""),14))</f>
        <v>08818699000103</v>
      </c>
      <c r="D487" s="5" t="str">
        <f aca="false">IF(C487="","",MID(C487,1,2)&amp;"."&amp;MID(C487,3,3)&amp;"."&amp;MID(C487,6,3)&amp;"/"&amp;MID(C487,9,4)&amp;"-"&amp;MID(C487,13,2))</f>
        <v>08.818.699/0001-03</v>
      </c>
      <c r="E487" s="4" t="str">
        <f aca="false">IF(ISNA(MATCH(A487,cnpj!$A:$A,0)),"Lotação não existe na aba cnpj",IF(B487="","Sem CNPJ na aba cnpj","OK"))</f>
        <v>OK</v>
      </c>
    </row>
    <row r="488" customFormat="false" ht="15" hidden="false" customHeight="false" outlineLevel="0" collapsed="false">
      <c r="A488" s="4" t="n">
        <f aca="false">sisgi!A488</f>
        <v>124907</v>
      </c>
      <c r="B488" s="5" t="str">
        <f aca="false">IFERROR(IF(INDEX(cnpj!$B:$B,MATCH(A488,cnpj!$A:$A,0))="","",INDEX(cnpj!$B:$B,MATCH(A488,cnpj!$A:$A,0))),"")</f>
        <v>08.842.876/0001-97</v>
      </c>
      <c r="C488" s="5" t="str">
        <f aca="false">IF(B488="","",RIGHT("00000000000000"&amp;SUBSTITUTE(SUBSTITUTE(SUBSTITUTE(SUBSTITUTE(B488,".",""),"/",""),"-","")," ",""),14))</f>
        <v>08842876000197</v>
      </c>
      <c r="D488" s="5" t="str">
        <f aca="false">IF(C488="","",MID(C488,1,2)&amp;"."&amp;MID(C488,3,3)&amp;"."&amp;MID(C488,6,3)&amp;"/"&amp;MID(C488,9,4)&amp;"-"&amp;MID(C488,13,2))</f>
        <v>08.842.876/0001-97</v>
      </c>
      <c r="E488" s="4" t="str">
        <f aca="false">IF(ISNA(MATCH(A488,cnpj!$A:$A,0)),"Lotação não existe na aba cnpj",IF(B488="","Sem CNPJ na aba cnpj","OK"))</f>
        <v>OK</v>
      </c>
    </row>
    <row r="489" customFormat="false" ht="15" hidden="false" customHeight="false" outlineLevel="0" collapsed="false">
      <c r="A489" s="4" t="n">
        <f aca="false">sisgi!A489</f>
        <v>124923</v>
      </c>
      <c r="B489" s="5" t="str">
        <f aca="false">IFERROR(IF(INDEX(cnpj!$B:$B,MATCH(A489,cnpj!$A:$A,0))="","",INDEX(cnpj!$B:$B,MATCH(A489,cnpj!$A:$A,0))),"")</f>
        <v>08.771.030/0001-03</v>
      </c>
      <c r="C489" s="5" t="str">
        <f aca="false">IF(B489="","",RIGHT("00000000000000"&amp;SUBSTITUTE(SUBSTITUTE(SUBSTITUTE(SUBSTITUTE(B489,".",""),"/",""),"-","")," ",""),14))</f>
        <v>08771030000103</v>
      </c>
      <c r="D489" s="5" t="str">
        <f aca="false">IF(C489="","",MID(C489,1,2)&amp;"."&amp;MID(C489,3,3)&amp;"."&amp;MID(C489,6,3)&amp;"/"&amp;MID(C489,9,4)&amp;"-"&amp;MID(C489,13,2))</f>
        <v>08.771.030/0001-03</v>
      </c>
      <c r="E489" s="4" t="str">
        <f aca="false">IF(ISNA(MATCH(A489,cnpj!$A:$A,0)),"Lotação não existe na aba cnpj",IF(B489="","Sem CNPJ na aba cnpj","OK"))</f>
        <v>OK</v>
      </c>
    </row>
    <row r="490" customFormat="false" ht="15" hidden="false" customHeight="false" outlineLevel="0" collapsed="false">
      <c r="A490" s="4" t="n">
        <f aca="false">sisgi!A490</f>
        <v>127701</v>
      </c>
      <c r="B490" s="5" t="str">
        <f aca="false">IFERROR(IF(INDEX(cnpj!$B:$B,MATCH(A490,cnpj!$A:$A,0))="","",INDEX(cnpj!$B:$B,MATCH(A490,cnpj!$A:$A,0))),"")</f>
        <v>07.093.262/0001-97</v>
      </c>
      <c r="C490" s="5" t="str">
        <f aca="false">IF(B490="","",RIGHT("00000000000000"&amp;SUBSTITUTE(SUBSTITUTE(SUBSTITUTE(SUBSTITUTE(B490,".",""),"/",""),"-","")," ",""),14))</f>
        <v>07093262000197</v>
      </c>
      <c r="D490" s="5" t="str">
        <f aca="false">IF(C490="","",MID(C490,1,2)&amp;"."&amp;MID(C490,3,3)&amp;"."&amp;MID(C490,6,3)&amp;"/"&amp;MID(C490,9,4)&amp;"-"&amp;MID(C490,13,2))</f>
        <v>07.093.262/0001-97</v>
      </c>
      <c r="E490" s="4" t="str">
        <f aca="false">IF(ISNA(MATCH(A490,cnpj!$A:$A,0)),"Lotação não existe na aba cnpj",IF(B490="","Sem CNPJ na aba cnpj","OK"))</f>
        <v>OK</v>
      </c>
    </row>
    <row r="491" customFormat="false" ht="15" hidden="false" customHeight="false" outlineLevel="0" collapsed="false">
      <c r="A491" s="4" t="n">
        <f aca="false">sisgi!A491</f>
        <v>127728</v>
      </c>
      <c r="B491" s="5" t="str">
        <f aca="false">IFERROR(IF(INDEX(cnpj!$B:$B,MATCH(A491,cnpj!$A:$A,0))="","",INDEX(cnpj!$B:$B,MATCH(A491,cnpj!$A:$A,0))),"")</f>
        <v>01.735.668/0001-40</v>
      </c>
      <c r="C491" s="5" t="str">
        <f aca="false">IF(B491="","",RIGHT("00000000000000"&amp;SUBSTITUTE(SUBSTITUTE(SUBSTITUTE(SUBSTITUTE(B491,".",""),"/",""),"-","")," ",""),14))</f>
        <v>01735668000140</v>
      </c>
      <c r="D491" s="5" t="str">
        <f aca="false">IF(C491="","",MID(C491,1,2)&amp;"."&amp;MID(C491,3,3)&amp;"."&amp;MID(C491,6,3)&amp;"/"&amp;MID(C491,9,4)&amp;"-"&amp;MID(C491,13,2))</f>
        <v>01.735.668/0001-40</v>
      </c>
      <c r="E491" s="4" t="str">
        <f aca="false">IF(ISNA(MATCH(A491,cnpj!$A:$A,0)),"Lotação não existe na aba cnpj",IF(B491="","Sem CNPJ na aba cnpj","OK"))</f>
        <v>OK</v>
      </c>
    </row>
    <row r="492" customFormat="false" ht="15" hidden="false" customHeight="false" outlineLevel="0" collapsed="false">
      <c r="A492" s="4" t="n">
        <f aca="false">sisgi!A492</f>
        <v>128228</v>
      </c>
      <c r="B492" s="5" t="str">
        <f aca="false">IFERROR(IF(INDEX(cnpj!$B:$B,MATCH(A492,cnpj!$A:$A,0))="","",INDEX(cnpj!$B:$B,MATCH(A492,cnpj!$A:$A,0))),"")</f>
        <v>09.371.050/0001-50</v>
      </c>
      <c r="C492" s="5" t="str">
        <f aca="false">IF(B492="","",RIGHT("00000000000000"&amp;SUBSTITUTE(SUBSTITUTE(SUBSTITUTE(SUBSTITUTE(B492,".",""),"/",""),"-","")," ",""),14))</f>
        <v>09371050000150</v>
      </c>
      <c r="D492" s="5" t="str">
        <f aca="false">IF(C492="","",MID(C492,1,2)&amp;"."&amp;MID(C492,3,3)&amp;"."&amp;MID(C492,6,3)&amp;"/"&amp;MID(C492,9,4)&amp;"-"&amp;MID(C492,13,2))</f>
        <v>09.371.050/0001-50</v>
      </c>
      <c r="E492" s="4" t="str">
        <f aca="false">IF(ISNA(MATCH(A492,cnpj!$A:$A,0)),"Lotação não existe na aba cnpj",IF(B492="","Sem CNPJ na aba cnpj","OK"))</f>
        <v>OK</v>
      </c>
    </row>
    <row r="493" customFormat="false" ht="15" hidden="false" customHeight="false" outlineLevel="0" collapsed="false">
      <c r="A493" s="4" t="n">
        <f aca="false">sisgi!A493</f>
        <v>129232</v>
      </c>
      <c r="B493" s="5" t="str">
        <f aca="false">IFERROR(IF(INDEX(cnpj!$B:$B,MATCH(A493,cnpj!$A:$A,0))="","",INDEX(cnpj!$B:$B,MATCH(A493,cnpj!$A:$A,0))),"")</f>
        <v>09.148.775/0001-83</v>
      </c>
      <c r="C493" s="5" t="str">
        <f aca="false">IF(B493="","",RIGHT("00000000000000"&amp;SUBSTITUTE(SUBSTITUTE(SUBSTITUTE(SUBSTITUTE(B493,".",""),"/",""),"-","")," ",""),14))</f>
        <v>09148775000183</v>
      </c>
      <c r="D493" s="5" t="str">
        <f aca="false">IF(C493="","",MID(C493,1,2)&amp;"."&amp;MID(C493,3,3)&amp;"."&amp;MID(C493,6,3)&amp;"/"&amp;MID(C493,9,4)&amp;"-"&amp;MID(C493,13,2))</f>
        <v>09.148.775/0001-83</v>
      </c>
      <c r="E493" s="4" t="str">
        <f aca="false">IF(ISNA(MATCH(A493,cnpj!$A:$A,0)),"Lotação não existe na aba cnpj",IF(B493="","Sem CNPJ na aba cnpj","OK"))</f>
        <v>OK</v>
      </c>
    </row>
    <row r="494" customFormat="false" ht="15" hidden="false" customHeight="false" outlineLevel="0" collapsed="false">
      <c r="A494" s="4" t="n">
        <f aca="false">sisgi!A494</f>
        <v>129240</v>
      </c>
      <c r="B494" s="5" t="str">
        <f aca="false">IFERROR(IF(INDEX(cnpj!$B:$B,MATCH(A494,cnpj!$A:$A,0))="","",INDEX(cnpj!$B:$B,MATCH(A494,cnpj!$A:$A,0))),"")</f>
        <v>09.630.261/0001-60</v>
      </c>
      <c r="C494" s="5" t="str">
        <f aca="false">IF(B494="","",RIGHT("00000000000000"&amp;SUBSTITUTE(SUBSTITUTE(SUBSTITUTE(SUBSTITUTE(B494,".",""),"/",""),"-","")," ",""),14))</f>
        <v>09630261000160</v>
      </c>
      <c r="D494" s="5" t="str">
        <f aca="false">IF(C494="","",MID(C494,1,2)&amp;"."&amp;MID(C494,3,3)&amp;"."&amp;MID(C494,6,3)&amp;"/"&amp;MID(C494,9,4)&amp;"-"&amp;MID(C494,13,2))</f>
        <v>09.630.261/0001-60</v>
      </c>
      <c r="E494" s="4" t="str">
        <f aca="false">IF(ISNA(MATCH(A494,cnpj!$A:$A,0)),"Lotação não existe na aba cnpj",IF(B494="","Sem CNPJ na aba cnpj","OK"))</f>
        <v>OK</v>
      </c>
    </row>
    <row r="495" customFormat="false" ht="15" hidden="false" customHeight="false" outlineLevel="0" collapsed="false">
      <c r="A495" s="4" t="n">
        <f aca="false">sisgi!A495</f>
        <v>129259</v>
      </c>
      <c r="B495" s="5" t="str">
        <f aca="false">IFERROR(IF(INDEX(cnpj!$B:$B,MATCH(A495,cnpj!$A:$A,0))="","",INDEX(cnpj!$B:$B,MATCH(A495,cnpj!$A:$A,0))),"")</f>
        <v>10.017.571/0001-92</v>
      </c>
      <c r="C495" s="5" t="str">
        <f aca="false">IF(B495="","",RIGHT("00000000000000"&amp;SUBSTITUTE(SUBSTITUTE(SUBSTITUTE(SUBSTITUTE(B495,".",""),"/",""),"-","")," ",""),14))</f>
        <v>10017571000192</v>
      </c>
      <c r="D495" s="5" t="str">
        <f aca="false">IF(C495="","",MID(C495,1,2)&amp;"."&amp;MID(C495,3,3)&amp;"."&amp;MID(C495,6,3)&amp;"/"&amp;MID(C495,9,4)&amp;"-"&amp;MID(C495,13,2))</f>
        <v>10.017.571/0001-92</v>
      </c>
      <c r="E495" s="4" t="str">
        <f aca="false">IF(ISNA(MATCH(A495,cnpj!$A:$A,0)),"Lotação não existe na aba cnpj",IF(B495="","Sem CNPJ na aba cnpj","OK"))</f>
        <v>OK</v>
      </c>
    </row>
    <row r="496" customFormat="false" ht="15" hidden="false" customHeight="false" outlineLevel="0" collapsed="false">
      <c r="A496" s="4" t="n">
        <f aca="false">sisgi!A496</f>
        <v>131822</v>
      </c>
      <c r="B496" s="5" t="str">
        <f aca="false">IFERROR(IF(INDEX(cnpj!$B:$B,MATCH(A496,cnpj!$A:$A,0))="","",INDEX(cnpj!$B:$B,MATCH(A496,cnpj!$A:$A,0))),"")</f>
        <v>10.175.901/0001-78</v>
      </c>
      <c r="C496" s="5" t="str">
        <f aca="false">IF(B496="","",RIGHT("00000000000000"&amp;SUBSTITUTE(SUBSTITUTE(SUBSTITUTE(SUBSTITUTE(B496,".",""),"/",""),"-","")," ",""),14))</f>
        <v>10175901000178</v>
      </c>
      <c r="D496" s="5" t="str">
        <f aca="false">IF(C496="","",MID(C496,1,2)&amp;"."&amp;MID(C496,3,3)&amp;"."&amp;MID(C496,6,3)&amp;"/"&amp;MID(C496,9,4)&amp;"-"&amp;MID(C496,13,2))</f>
        <v>10.175.901/0001-78</v>
      </c>
      <c r="E496" s="4" t="str">
        <f aca="false">IF(ISNA(MATCH(A496,cnpj!$A:$A,0)),"Lotação não existe na aba cnpj",IF(B496="","Sem CNPJ na aba cnpj","OK"))</f>
        <v>OK</v>
      </c>
    </row>
    <row r="497" customFormat="false" ht="15" hidden="false" customHeight="false" outlineLevel="0" collapsed="false">
      <c r="A497" s="4" t="n">
        <f aca="false">sisgi!A497</f>
        <v>131830</v>
      </c>
      <c r="B497" s="5" t="str">
        <f aca="false">IFERROR(IF(INDEX(cnpj!$B:$B,MATCH(A497,cnpj!$A:$A,0))="","",INDEX(cnpj!$B:$B,MATCH(A497,cnpj!$A:$A,0))),"")</f>
        <v>09.225.448/0001-88</v>
      </c>
      <c r="C497" s="5" t="str">
        <f aca="false">IF(B497="","",RIGHT("00000000000000"&amp;SUBSTITUTE(SUBSTITUTE(SUBSTITUTE(SUBSTITUTE(B497,".",""),"/",""),"-","")," ",""),14))</f>
        <v>09225448000188</v>
      </c>
      <c r="D497" s="5" t="str">
        <f aca="false">IF(C497="","",MID(C497,1,2)&amp;"."&amp;MID(C497,3,3)&amp;"."&amp;MID(C497,6,3)&amp;"/"&amp;MID(C497,9,4)&amp;"-"&amp;MID(C497,13,2))</f>
        <v>09.225.448/0001-88</v>
      </c>
      <c r="E497" s="4" t="str">
        <f aca="false">IF(ISNA(MATCH(A497,cnpj!$A:$A,0)),"Lotação não existe na aba cnpj",IF(B497="","Sem CNPJ na aba cnpj","OK"))</f>
        <v>OK</v>
      </c>
    </row>
    <row r="498" customFormat="false" ht="15" hidden="false" customHeight="false" outlineLevel="0" collapsed="false">
      <c r="A498" s="4" t="n">
        <f aca="false">sisgi!A498</f>
        <v>131849</v>
      </c>
      <c r="B498" s="5" t="str">
        <f aca="false">IFERROR(IF(INDEX(cnpj!$B:$B,MATCH(A498,cnpj!$A:$A,0))="","",INDEX(cnpj!$B:$B,MATCH(A498,cnpj!$A:$A,0))),"")</f>
        <v>09.303.647/0001-67</v>
      </c>
      <c r="C498" s="5" t="str">
        <f aca="false">IF(B498="","",RIGHT("00000000000000"&amp;SUBSTITUTE(SUBSTITUTE(SUBSTITUTE(SUBSTITUTE(B498,".",""),"/",""),"-","")," ",""),14))</f>
        <v>09303647000167</v>
      </c>
      <c r="D498" s="5" t="str">
        <f aca="false">IF(C498="","",MID(C498,1,2)&amp;"."&amp;MID(C498,3,3)&amp;"."&amp;MID(C498,6,3)&amp;"/"&amp;MID(C498,9,4)&amp;"-"&amp;MID(C498,13,2))</f>
        <v>09.303.647/0001-67</v>
      </c>
      <c r="E498" s="4" t="str">
        <f aca="false">IF(ISNA(MATCH(A498,cnpj!$A:$A,0)),"Lotação não existe na aba cnpj",IF(B498="","Sem CNPJ na aba cnpj","OK"))</f>
        <v>OK</v>
      </c>
    </row>
    <row r="499" customFormat="false" ht="15" hidden="false" customHeight="false" outlineLevel="0" collapsed="false">
      <c r="A499" s="4" t="n">
        <f aca="false">sisgi!A499</f>
        <v>131857</v>
      </c>
      <c r="B499" s="5" t="str">
        <f aca="false">IFERROR(IF(INDEX(cnpj!$B:$B,MATCH(A499,cnpj!$A:$A,0))="","",INDEX(cnpj!$B:$B,MATCH(A499,cnpj!$A:$A,0))),"")</f>
        <v>09.354.397/0001-94</v>
      </c>
      <c r="C499" s="5" t="str">
        <f aca="false">IF(B499="","",RIGHT("00000000000000"&amp;SUBSTITUTE(SUBSTITUTE(SUBSTITUTE(SUBSTITUTE(B499,".",""),"/",""),"-","")," ",""),14))</f>
        <v>09354397000194</v>
      </c>
      <c r="D499" s="5" t="str">
        <f aca="false">IF(C499="","",MID(C499,1,2)&amp;"."&amp;MID(C499,3,3)&amp;"."&amp;MID(C499,6,3)&amp;"/"&amp;MID(C499,9,4)&amp;"-"&amp;MID(C499,13,2))</f>
        <v>09.354.397/0001-94</v>
      </c>
      <c r="E499" s="4" t="str">
        <f aca="false">IF(ISNA(MATCH(A499,cnpj!$A:$A,0)),"Lotação não existe na aba cnpj",IF(B499="","Sem CNPJ na aba cnpj","OK"))</f>
        <v>OK</v>
      </c>
    </row>
    <row r="500" customFormat="false" ht="15" hidden="false" customHeight="false" outlineLevel="0" collapsed="false">
      <c r="A500" s="4" t="n">
        <f aca="false">sisgi!A500</f>
        <v>137758</v>
      </c>
      <c r="B500" s="5" t="str">
        <f aca="false">IFERROR(IF(INDEX(cnpj!$B:$B,MATCH(A500,cnpj!$A:$A,0))="","",INDEX(cnpj!$B:$B,MATCH(A500,cnpj!$A:$A,0))),"")</f>
        <v>01.977.823/0001-34</v>
      </c>
      <c r="C500" s="5" t="str">
        <f aca="false">IF(B500="","",RIGHT("00000000000000"&amp;SUBSTITUTE(SUBSTITUTE(SUBSTITUTE(SUBSTITUTE(B500,".",""),"/",""),"-","")," ",""),14))</f>
        <v>01977823000134</v>
      </c>
      <c r="D500" s="5" t="str">
        <f aca="false">IF(C500="","",MID(C500,1,2)&amp;"."&amp;MID(C500,3,3)&amp;"."&amp;MID(C500,6,3)&amp;"/"&amp;MID(C500,9,4)&amp;"-"&amp;MID(C500,13,2))</f>
        <v>01.977.823/0001-34</v>
      </c>
      <c r="E500" s="4" t="str">
        <f aca="false">IF(ISNA(MATCH(A500,cnpj!$A:$A,0)),"Lotação não existe na aba cnpj",IF(B500="","Sem CNPJ na aba cnpj","OK"))</f>
        <v>OK</v>
      </c>
    </row>
    <row r="501" customFormat="false" ht="15" hidden="false" customHeight="false" outlineLevel="0" collapsed="false">
      <c r="A501" s="4" t="n">
        <f aca="false">sisgi!A501</f>
        <v>137766</v>
      </c>
      <c r="B501" s="5" t="str">
        <f aca="false">IFERROR(IF(INDEX(cnpj!$B:$B,MATCH(A501,cnpj!$A:$A,0))="","",INDEX(cnpj!$B:$B,MATCH(A501,cnpj!$A:$A,0))),"")</f>
        <v>09.520.368/0001-55</v>
      </c>
      <c r="C501" s="5" t="str">
        <f aca="false">IF(B501="","",RIGHT("00000000000000"&amp;SUBSTITUTE(SUBSTITUTE(SUBSTITUTE(SUBSTITUTE(B501,".",""),"/",""),"-","")," ",""),14))</f>
        <v>09520368000155</v>
      </c>
      <c r="D501" s="5" t="str">
        <f aca="false">IF(C501="","",MID(C501,1,2)&amp;"."&amp;MID(C501,3,3)&amp;"."&amp;MID(C501,6,3)&amp;"/"&amp;MID(C501,9,4)&amp;"-"&amp;MID(C501,13,2))</f>
        <v>09.520.368/0001-55</v>
      </c>
      <c r="E501" s="4" t="str">
        <f aca="false">IF(ISNA(MATCH(A501,cnpj!$A:$A,0)),"Lotação não existe na aba cnpj",IF(B501="","Sem CNPJ na aba cnpj","OK"))</f>
        <v>OK</v>
      </c>
    </row>
    <row r="502" customFormat="false" ht="15" hidden="false" customHeight="false" outlineLevel="0" collapsed="false">
      <c r="A502" s="4" t="n">
        <f aca="false">sisgi!A502</f>
        <v>137774</v>
      </c>
      <c r="B502" s="5" t="str">
        <f aca="false">IFERROR(IF(INDEX(cnpj!$B:$B,MATCH(A502,cnpj!$A:$A,0))="","",INDEX(cnpj!$B:$B,MATCH(A502,cnpj!$A:$A,0))),"")</f>
        <v>09.520.394/0001-83</v>
      </c>
      <c r="C502" s="5" t="str">
        <f aca="false">IF(B502="","",RIGHT("00000000000000"&amp;SUBSTITUTE(SUBSTITUTE(SUBSTITUTE(SUBSTITUTE(B502,".",""),"/",""),"-","")," ",""),14))</f>
        <v>09520394000183</v>
      </c>
      <c r="D502" s="5" t="str">
        <f aca="false">IF(C502="","",MID(C502,1,2)&amp;"."&amp;MID(C502,3,3)&amp;"."&amp;MID(C502,6,3)&amp;"/"&amp;MID(C502,9,4)&amp;"-"&amp;MID(C502,13,2))</f>
        <v>09.520.394/0001-83</v>
      </c>
      <c r="E502" s="4" t="str">
        <f aca="false">IF(ISNA(MATCH(A502,cnpj!$A:$A,0)),"Lotação não existe na aba cnpj",IF(B502="","Sem CNPJ na aba cnpj","OK"))</f>
        <v>OK</v>
      </c>
    </row>
    <row r="503" customFormat="false" ht="15" hidden="false" customHeight="false" outlineLevel="0" collapsed="false">
      <c r="A503" s="4" t="n">
        <f aca="false">sisgi!A503</f>
        <v>140805</v>
      </c>
      <c r="B503" s="5" t="str">
        <f aca="false">IFERROR(IF(INDEX(cnpj!$B:$B,MATCH(A503,cnpj!$A:$A,0))="","",INDEX(cnpj!$B:$B,MATCH(A503,cnpj!$A:$A,0))),"")</f>
        <v>03.051.905/0001-89</v>
      </c>
      <c r="C503" s="5" t="str">
        <f aca="false">IF(B503="","",RIGHT("00000000000000"&amp;SUBSTITUTE(SUBSTITUTE(SUBSTITUTE(SUBSTITUTE(B503,".",""),"/",""),"-","")," ",""),14))</f>
        <v>03051905000189</v>
      </c>
      <c r="D503" s="5" t="str">
        <f aca="false">IF(C503="","",MID(C503,1,2)&amp;"."&amp;MID(C503,3,3)&amp;"."&amp;MID(C503,6,3)&amp;"/"&amp;MID(C503,9,4)&amp;"-"&amp;MID(C503,13,2))</f>
        <v>03.051.905/0001-89</v>
      </c>
      <c r="E503" s="4" t="str">
        <f aca="false">IF(ISNA(MATCH(A503,cnpj!$A:$A,0)),"Lotação não existe na aba cnpj",IF(B503="","Sem CNPJ na aba cnpj","OK"))</f>
        <v>OK</v>
      </c>
    </row>
    <row r="504" customFormat="false" ht="15" hidden="false" customHeight="false" outlineLevel="0" collapsed="false">
      <c r="A504" s="4" t="n">
        <f aca="false">sisgi!A504</f>
        <v>140813</v>
      </c>
      <c r="B504" s="5" t="str">
        <f aca="false">IFERROR(IF(INDEX(cnpj!$B:$B,MATCH(A504,cnpj!$A:$A,0))="","",INDEX(cnpj!$B:$B,MATCH(A504,cnpj!$A:$A,0))),"")</f>
        <v>10.159.535/0001-63</v>
      </c>
      <c r="C504" s="5" t="str">
        <f aca="false">IF(B504="","",RIGHT("00000000000000"&amp;SUBSTITUTE(SUBSTITUTE(SUBSTITUTE(SUBSTITUTE(B504,".",""),"/",""),"-","")," ",""),14))</f>
        <v>10159535000163</v>
      </c>
      <c r="D504" s="5" t="str">
        <f aca="false">IF(C504="","",MID(C504,1,2)&amp;"."&amp;MID(C504,3,3)&amp;"."&amp;MID(C504,6,3)&amp;"/"&amp;MID(C504,9,4)&amp;"-"&amp;MID(C504,13,2))</f>
        <v>10.159.535/0001-63</v>
      </c>
      <c r="E504" s="4" t="str">
        <f aca="false">IF(ISNA(MATCH(A504,cnpj!$A:$A,0)),"Lotação não existe na aba cnpj",IF(B504="","Sem CNPJ na aba cnpj","OK"))</f>
        <v>OK</v>
      </c>
    </row>
    <row r="505" customFormat="false" ht="15" hidden="false" customHeight="false" outlineLevel="0" collapsed="false">
      <c r="A505" s="4" t="n">
        <f aca="false">sisgi!A505</f>
        <v>140988</v>
      </c>
      <c r="B505" s="5" t="str">
        <f aca="false">IFERROR(IF(INDEX(cnpj!$B:$B,MATCH(A505,cnpj!$A:$A,0))="","",INDEX(cnpj!$B:$B,MATCH(A505,cnpj!$A:$A,0))),"")</f>
        <v>09.321.974/0001-41</v>
      </c>
      <c r="C505" s="5" t="str">
        <f aca="false">IF(B505="","",RIGHT("00000000000000"&amp;SUBSTITUTE(SUBSTITUTE(SUBSTITUTE(SUBSTITUTE(B505,".",""),"/",""),"-","")," ",""),14))</f>
        <v>09321974000141</v>
      </c>
      <c r="D505" s="5" t="str">
        <f aca="false">IF(C505="","",MID(C505,1,2)&amp;"."&amp;MID(C505,3,3)&amp;"."&amp;MID(C505,6,3)&amp;"/"&amp;MID(C505,9,4)&amp;"-"&amp;MID(C505,13,2))</f>
        <v>09.321.974/0001-41</v>
      </c>
      <c r="E505" s="4" t="str">
        <f aca="false">IF(ISNA(MATCH(A505,cnpj!$A:$A,0)),"Lotação não existe na aba cnpj",IF(B505="","Sem CNPJ na aba cnpj","OK"))</f>
        <v>OK</v>
      </c>
    </row>
    <row r="506" customFormat="false" ht="15" hidden="false" customHeight="false" outlineLevel="0" collapsed="false">
      <c r="A506" s="4" t="n">
        <f aca="false">sisgi!A506</f>
        <v>142166</v>
      </c>
      <c r="B506" s="5" t="str">
        <f aca="false">IFERROR(IF(INDEX(cnpj!$B:$B,MATCH(A506,cnpj!$A:$A,0))="","",INDEX(cnpj!$B:$B,MATCH(A506,cnpj!$A:$A,0))),"")</f>
        <v>09.573.126/0001-20</v>
      </c>
      <c r="C506" s="5" t="str">
        <f aca="false">IF(B506="","",RIGHT("00000000000000"&amp;SUBSTITUTE(SUBSTITUTE(SUBSTITUTE(SUBSTITUTE(B506,".",""),"/",""),"-","")," ",""),14))</f>
        <v>09573126000120</v>
      </c>
      <c r="D506" s="5" t="str">
        <f aca="false">IF(C506="","",MID(C506,1,2)&amp;"."&amp;MID(C506,3,3)&amp;"."&amp;MID(C506,6,3)&amp;"/"&amp;MID(C506,9,4)&amp;"-"&amp;MID(C506,13,2))</f>
        <v>09.573.126/0001-20</v>
      </c>
      <c r="E506" s="4" t="str">
        <f aca="false">IF(ISNA(MATCH(A506,cnpj!$A:$A,0)),"Lotação não existe na aba cnpj",IF(B506="","Sem CNPJ na aba cnpj","OK"))</f>
        <v>OK</v>
      </c>
    </row>
    <row r="507" customFormat="false" ht="15" hidden="false" customHeight="false" outlineLevel="0" collapsed="false">
      <c r="A507" s="4" t="n">
        <f aca="false">sisgi!A507</f>
        <v>145696</v>
      </c>
      <c r="B507" s="5" t="str">
        <f aca="false">IFERROR(IF(INDEX(cnpj!$B:$B,MATCH(A507,cnpj!$A:$A,0))="","",INDEX(cnpj!$B:$B,MATCH(A507,cnpj!$A:$A,0))),"")</f>
        <v>10.364.873/0001-37</v>
      </c>
      <c r="C507" s="5" t="str">
        <f aca="false">IF(B507="","",RIGHT("00000000000000"&amp;SUBSTITUTE(SUBSTITUTE(SUBSTITUTE(SUBSTITUTE(B507,".",""),"/",""),"-","")," ",""),14))</f>
        <v>10364873000137</v>
      </c>
      <c r="D507" s="5" t="str">
        <f aca="false">IF(C507="","",MID(C507,1,2)&amp;"."&amp;MID(C507,3,3)&amp;"."&amp;MID(C507,6,3)&amp;"/"&amp;MID(C507,9,4)&amp;"-"&amp;MID(C507,13,2))</f>
        <v>10.364.873/0001-37</v>
      </c>
      <c r="E507" s="4" t="str">
        <f aca="false">IF(ISNA(MATCH(A507,cnpj!$A:$A,0)),"Lotação não existe na aba cnpj",IF(B507="","Sem CNPJ na aba cnpj","OK"))</f>
        <v>OK</v>
      </c>
    </row>
    <row r="508" customFormat="false" ht="15" hidden="false" customHeight="false" outlineLevel="0" collapsed="false">
      <c r="A508" s="4" t="n">
        <f aca="false">sisgi!A508</f>
        <v>145718</v>
      </c>
      <c r="B508" s="5" t="str">
        <f aca="false">IFERROR(IF(INDEX(cnpj!$B:$B,MATCH(A508,cnpj!$A:$A,0))="","",INDEX(cnpj!$B:$B,MATCH(A508,cnpj!$A:$A,0))),"")</f>
        <v>04.441.057/0001-87</v>
      </c>
      <c r="C508" s="5" t="str">
        <f aca="false">IF(B508="","",RIGHT("00000000000000"&amp;SUBSTITUTE(SUBSTITUTE(SUBSTITUTE(SUBSTITUTE(B508,".",""),"/",""),"-","")," ",""),14))</f>
        <v>04441057000187</v>
      </c>
      <c r="D508" s="5" t="str">
        <f aca="false">IF(C508="","",MID(C508,1,2)&amp;"."&amp;MID(C508,3,3)&amp;"."&amp;MID(C508,6,3)&amp;"/"&amp;MID(C508,9,4)&amp;"-"&amp;MID(C508,13,2))</f>
        <v>04.441.057/0001-87</v>
      </c>
      <c r="E508" s="4" t="str">
        <f aca="false">IF(ISNA(MATCH(A508,cnpj!$A:$A,0)),"Lotação não existe na aba cnpj",IF(B508="","Sem CNPJ na aba cnpj","OK"))</f>
        <v>OK</v>
      </c>
    </row>
    <row r="509" customFormat="false" ht="15" hidden="false" customHeight="false" outlineLevel="0" collapsed="false">
      <c r="A509" s="4" t="n">
        <f aca="false">sisgi!A509</f>
        <v>145726</v>
      </c>
      <c r="B509" s="5" t="str">
        <f aca="false">IFERROR(IF(INDEX(cnpj!$B:$B,MATCH(A509,cnpj!$A:$A,0))="","",INDEX(cnpj!$B:$B,MATCH(A509,cnpj!$A:$A,0))),"")</f>
        <v>09.592.782/0001-70</v>
      </c>
      <c r="C509" s="5" t="str">
        <f aca="false">IF(B509="","",RIGHT("00000000000000"&amp;SUBSTITUTE(SUBSTITUTE(SUBSTITUTE(SUBSTITUTE(B509,".",""),"/",""),"-","")," ",""),14))</f>
        <v>09592782000170</v>
      </c>
      <c r="D509" s="5" t="str">
        <f aca="false">IF(C509="","",MID(C509,1,2)&amp;"."&amp;MID(C509,3,3)&amp;"."&amp;MID(C509,6,3)&amp;"/"&amp;MID(C509,9,4)&amp;"-"&amp;MID(C509,13,2))</f>
        <v>09.592.782/0001-70</v>
      </c>
      <c r="E509" s="4" t="str">
        <f aca="false">IF(ISNA(MATCH(A509,cnpj!$A:$A,0)),"Lotação não existe na aba cnpj",IF(B509="","Sem CNPJ na aba cnpj","OK"))</f>
        <v>OK</v>
      </c>
    </row>
    <row r="510" customFormat="false" ht="15" hidden="false" customHeight="false" outlineLevel="0" collapsed="false">
      <c r="A510" s="4" t="n">
        <f aca="false">sisgi!A510</f>
        <v>145734</v>
      </c>
      <c r="B510" s="5" t="str">
        <f aca="false">IFERROR(IF(INDEX(cnpj!$B:$B,MATCH(A510,cnpj!$A:$A,0))="","",INDEX(cnpj!$B:$B,MATCH(A510,cnpj!$A:$A,0))),"")</f>
        <v>09.586.436/0001-89</v>
      </c>
      <c r="C510" s="5" t="str">
        <f aca="false">IF(B510="","",RIGHT("00000000000000"&amp;SUBSTITUTE(SUBSTITUTE(SUBSTITUTE(SUBSTITUTE(B510,".",""),"/",""),"-","")," ",""),14))</f>
        <v>09586436000189</v>
      </c>
      <c r="D510" s="5" t="str">
        <f aca="false">IF(C510="","",MID(C510,1,2)&amp;"."&amp;MID(C510,3,3)&amp;"."&amp;MID(C510,6,3)&amp;"/"&amp;MID(C510,9,4)&amp;"-"&amp;MID(C510,13,2))</f>
        <v>09.586.436/0001-89</v>
      </c>
      <c r="E510" s="4" t="str">
        <f aca="false">IF(ISNA(MATCH(A510,cnpj!$A:$A,0)),"Lotação não existe na aba cnpj",IF(B510="","Sem CNPJ na aba cnpj","OK"))</f>
        <v>OK</v>
      </c>
    </row>
    <row r="511" customFormat="false" ht="15" hidden="false" customHeight="false" outlineLevel="0" collapsed="false">
      <c r="A511" s="4" t="n">
        <f aca="false">sisgi!A511</f>
        <v>145742</v>
      </c>
      <c r="B511" s="5" t="str">
        <f aca="false">IFERROR(IF(INDEX(cnpj!$B:$B,MATCH(A511,cnpj!$A:$A,0))="","",INDEX(cnpj!$B:$B,MATCH(A511,cnpj!$A:$A,0))),"")</f>
        <v>09.688.779/0001-54</v>
      </c>
      <c r="C511" s="5" t="str">
        <f aca="false">IF(B511="","",RIGHT("00000000000000"&amp;SUBSTITUTE(SUBSTITUTE(SUBSTITUTE(SUBSTITUTE(B511,".",""),"/",""),"-","")," ",""),14))</f>
        <v>09688779000154</v>
      </c>
      <c r="D511" s="5" t="str">
        <f aca="false">IF(C511="","",MID(C511,1,2)&amp;"."&amp;MID(C511,3,3)&amp;"."&amp;MID(C511,6,3)&amp;"/"&amp;MID(C511,9,4)&amp;"-"&amp;MID(C511,13,2))</f>
        <v>09.688.779/0001-54</v>
      </c>
      <c r="E511" s="4" t="str">
        <f aca="false">IF(ISNA(MATCH(A511,cnpj!$A:$A,0)),"Lotação não existe na aba cnpj",IF(B511="","Sem CNPJ na aba cnpj","OK"))</f>
        <v>OK</v>
      </c>
    </row>
    <row r="512" customFormat="false" ht="15" hidden="false" customHeight="false" outlineLevel="0" collapsed="false">
      <c r="A512" s="4" t="n">
        <f aca="false">sisgi!A512</f>
        <v>145750</v>
      </c>
      <c r="B512" s="5" t="str">
        <f aca="false">IFERROR(IF(INDEX(cnpj!$B:$B,MATCH(A512,cnpj!$A:$A,0))="","",INDEX(cnpj!$B:$B,MATCH(A512,cnpj!$A:$A,0))),"")</f>
        <v>09.469.590/0001-70</v>
      </c>
      <c r="C512" s="5" t="str">
        <f aca="false">IF(B512="","",RIGHT("00000000000000"&amp;SUBSTITUTE(SUBSTITUTE(SUBSTITUTE(SUBSTITUTE(B512,".",""),"/",""),"-","")," ",""),14))</f>
        <v>09469590000170</v>
      </c>
      <c r="D512" s="5" t="str">
        <f aca="false">IF(C512="","",MID(C512,1,2)&amp;"."&amp;MID(C512,3,3)&amp;"."&amp;MID(C512,6,3)&amp;"/"&amp;MID(C512,9,4)&amp;"-"&amp;MID(C512,13,2))</f>
        <v>09.469.590/0001-70</v>
      </c>
      <c r="E512" s="4" t="str">
        <f aca="false">IF(ISNA(MATCH(A512,cnpj!$A:$A,0)),"Lotação não existe na aba cnpj",IF(B512="","Sem CNPJ na aba cnpj","OK"))</f>
        <v>OK</v>
      </c>
    </row>
    <row r="513" customFormat="false" ht="15" hidden="false" customHeight="false" outlineLevel="0" collapsed="false">
      <c r="A513" s="4" t="n">
        <f aca="false">sisgi!A513</f>
        <v>145769</v>
      </c>
      <c r="B513" s="5" t="str">
        <f aca="false">IFERROR(IF(INDEX(cnpj!$B:$B,MATCH(A513,cnpj!$A:$A,0))="","",INDEX(cnpj!$B:$B,MATCH(A513,cnpj!$A:$A,0))),"")</f>
        <v>09.566.286/0001-41</v>
      </c>
      <c r="C513" s="5" t="str">
        <f aca="false">IF(B513="","",RIGHT("00000000000000"&amp;SUBSTITUTE(SUBSTITUTE(SUBSTITUTE(SUBSTITUTE(B513,".",""),"/",""),"-","")," ",""),14))</f>
        <v>09566286000141</v>
      </c>
      <c r="D513" s="5" t="str">
        <f aca="false">IF(C513="","",MID(C513,1,2)&amp;"."&amp;MID(C513,3,3)&amp;"."&amp;MID(C513,6,3)&amp;"/"&amp;MID(C513,9,4)&amp;"-"&amp;MID(C513,13,2))</f>
        <v>09.566.286/0001-41</v>
      </c>
      <c r="E513" s="4" t="str">
        <f aca="false">IF(ISNA(MATCH(A513,cnpj!$A:$A,0)),"Lotação não existe na aba cnpj",IF(B513="","Sem CNPJ na aba cnpj","OK"))</f>
        <v>OK</v>
      </c>
    </row>
    <row r="514" customFormat="false" ht="15" hidden="false" customHeight="false" outlineLevel="0" collapsed="false">
      <c r="A514" s="4" t="n">
        <f aca="false">sisgi!A514</f>
        <v>148075</v>
      </c>
      <c r="B514" s="5" t="str">
        <f aca="false">IFERROR(IF(INDEX(cnpj!$B:$B,MATCH(A514,cnpj!$A:$A,0))="","",INDEX(cnpj!$B:$B,MATCH(A514,cnpj!$A:$A,0))),"")</f>
        <v>09.615.165/0001-42</v>
      </c>
      <c r="C514" s="5" t="str">
        <f aca="false">IF(B514="","",RIGHT("00000000000000"&amp;SUBSTITUTE(SUBSTITUTE(SUBSTITUTE(SUBSTITUTE(B514,".",""),"/",""),"-","")," ",""),14))</f>
        <v>09615165000142</v>
      </c>
      <c r="D514" s="5" t="str">
        <f aca="false">IF(C514="","",MID(C514,1,2)&amp;"."&amp;MID(C514,3,3)&amp;"."&amp;MID(C514,6,3)&amp;"/"&amp;MID(C514,9,4)&amp;"-"&amp;MID(C514,13,2))</f>
        <v>09.615.165/0001-42</v>
      </c>
      <c r="E514" s="4" t="str">
        <f aca="false">IF(ISNA(MATCH(A514,cnpj!$A:$A,0)),"Lotação não existe na aba cnpj",IF(B514="","Sem CNPJ na aba cnpj","OK"))</f>
        <v>OK</v>
      </c>
    </row>
    <row r="515" customFormat="false" ht="15" hidden="false" customHeight="false" outlineLevel="0" collapsed="false">
      <c r="A515" s="4" t="n">
        <f aca="false">sisgi!A515</f>
        <v>148091</v>
      </c>
      <c r="B515" s="5" t="str">
        <f aca="false">IFERROR(IF(INDEX(cnpj!$B:$B,MATCH(A515,cnpj!$A:$A,0))="","",INDEX(cnpj!$B:$B,MATCH(A515,cnpj!$A:$A,0))),"")</f>
        <v>10.016.443/0001-24</v>
      </c>
      <c r="C515" s="5" t="str">
        <f aca="false">IF(B515="","",RIGHT("00000000000000"&amp;SUBSTITUTE(SUBSTITUTE(SUBSTITUTE(SUBSTITUTE(B515,".",""),"/",""),"-","")," ",""),14))</f>
        <v>10016443000124</v>
      </c>
      <c r="D515" s="5" t="str">
        <f aca="false">IF(C515="","",MID(C515,1,2)&amp;"."&amp;MID(C515,3,3)&amp;"."&amp;MID(C515,6,3)&amp;"/"&amp;MID(C515,9,4)&amp;"-"&amp;MID(C515,13,2))</f>
        <v>10.016.443/0001-24</v>
      </c>
      <c r="E515" s="4" t="str">
        <f aca="false">IF(ISNA(MATCH(A515,cnpj!$A:$A,0)),"Lotação não existe na aba cnpj",IF(B515="","Sem CNPJ na aba cnpj","OK"))</f>
        <v>OK</v>
      </c>
    </row>
    <row r="516" customFormat="false" ht="15" hidden="false" customHeight="false" outlineLevel="0" collapsed="false">
      <c r="A516" s="4" t="n">
        <f aca="false">sisgi!A516</f>
        <v>148113</v>
      </c>
      <c r="B516" s="5" t="str">
        <f aca="false">IFERROR(IF(INDEX(cnpj!$B:$B,MATCH(A516,cnpj!$A:$A,0))="","",INDEX(cnpj!$B:$B,MATCH(A516,cnpj!$A:$A,0))),"")</f>
        <v>09.634.738/0001-85</v>
      </c>
      <c r="C516" s="5" t="str">
        <f aca="false">IF(B516="","",RIGHT("00000000000000"&amp;SUBSTITUTE(SUBSTITUTE(SUBSTITUTE(SUBSTITUTE(B516,".",""),"/",""),"-","")," ",""),14))</f>
        <v>09634738000185</v>
      </c>
      <c r="D516" s="5" t="str">
        <f aca="false">IF(C516="","",MID(C516,1,2)&amp;"."&amp;MID(C516,3,3)&amp;"."&amp;MID(C516,6,3)&amp;"/"&amp;MID(C516,9,4)&amp;"-"&amp;MID(C516,13,2))</f>
        <v>09.634.738/0001-85</v>
      </c>
      <c r="E516" s="4" t="str">
        <f aca="false">IF(ISNA(MATCH(A516,cnpj!$A:$A,0)),"Lotação não existe na aba cnpj",IF(B516="","Sem CNPJ na aba cnpj","OK"))</f>
        <v>OK</v>
      </c>
    </row>
    <row r="517" customFormat="false" ht="15" hidden="false" customHeight="false" outlineLevel="0" collapsed="false">
      <c r="A517" s="4" t="n">
        <f aca="false">sisgi!A517</f>
        <v>148121</v>
      </c>
      <c r="B517" s="5" t="str">
        <f aca="false">IFERROR(IF(INDEX(cnpj!$B:$B,MATCH(A517,cnpj!$A:$A,0))="","",INDEX(cnpj!$B:$B,MATCH(A517,cnpj!$A:$A,0))),"")</f>
        <v>10.602.557/0001-56</v>
      </c>
      <c r="C517" s="5" t="str">
        <f aca="false">IF(B517="","",RIGHT("00000000000000"&amp;SUBSTITUTE(SUBSTITUTE(SUBSTITUTE(SUBSTITUTE(B517,".",""),"/",""),"-","")," ",""),14))</f>
        <v>10602557000156</v>
      </c>
      <c r="D517" s="5" t="str">
        <f aca="false">IF(C517="","",MID(C517,1,2)&amp;"."&amp;MID(C517,3,3)&amp;"."&amp;MID(C517,6,3)&amp;"/"&amp;MID(C517,9,4)&amp;"-"&amp;MID(C517,13,2))</f>
        <v>10.602.557/0001-56</v>
      </c>
      <c r="E517" s="4" t="str">
        <f aca="false">IF(ISNA(MATCH(A517,cnpj!$A:$A,0)),"Lotação não existe na aba cnpj",IF(B517="","Sem CNPJ na aba cnpj","OK"))</f>
        <v>OK</v>
      </c>
    </row>
    <row r="518" customFormat="false" ht="15" hidden="false" customHeight="false" outlineLevel="0" collapsed="false">
      <c r="A518" s="4" t="n">
        <f aca="false">sisgi!A518</f>
        <v>148130</v>
      </c>
      <c r="B518" s="5" t="str">
        <f aca="false">IFERROR(IF(INDEX(cnpj!$B:$B,MATCH(A518,cnpj!$A:$A,0))="","",INDEX(cnpj!$B:$B,MATCH(A518,cnpj!$A:$A,0))),"")</f>
        <v>10.299.581/0001-68</v>
      </c>
      <c r="C518" s="5" t="str">
        <f aca="false">IF(B518="","",RIGHT("00000000000000"&amp;SUBSTITUTE(SUBSTITUTE(SUBSTITUTE(SUBSTITUTE(B518,".",""),"/",""),"-","")," ",""),14))</f>
        <v>10299581000168</v>
      </c>
      <c r="D518" s="5" t="str">
        <f aca="false">IF(C518="","",MID(C518,1,2)&amp;"."&amp;MID(C518,3,3)&amp;"."&amp;MID(C518,6,3)&amp;"/"&amp;MID(C518,9,4)&amp;"-"&amp;MID(C518,13,2))</f>
        <v>10.299.581/0001-68</v>
      </c>
      <c r="E518" s="4" t="str">
        <f aca="false">IF(ISNA(MATCH(A518,cnpj!$A:$A,0)),"Lotação não existe na aba cnpj",IF(B518="","Sem CNPJ na aba cnpj","OK"))</f>
        <v>OK</v>
      </c>
    </row>
    <row r="519" customFormat="false" ht="15" hidden="false" customHeight="false" outlineLevel="0" collapsed="false">
      <c r="A519" s="4" t="n">
        <f aca="false">sisgi!A519</f>
        <v>153877</v>
      </c>
      <c r="B519" s="5" t="str">
        <f aca="false">IFERROR(IF(INDEX(cnpj!$B:$B,MATCH(A519,cnpj!$A:$A,0))="","",INDEX(cnpj!$B:$B,MATCH(A519,cnpj!$A:$A,0))),"")</f>
        <v>11.162.323/0001-06</v>
      </c>
      <c r="C519" s="5" t="str">
        <f aca="false">IF(B519="","",RIGHT("00000000000000"&amp;SUBSTITUTE(SUBSTITUTE(SUBSTITUTE(SUBSTITUTE(B519,".",""),"/",""),"-","")," ",""),14))</f>
        <v>11162323000106</v>
      </c>
      <c r="D519" s="5" t="str">
        <f aca="false">IF(C519="","",MID(C519,1,2)&amp;"."&amp;MID(C519,3,3)&amp;"."&amp;MID(C519,6,3)&amp;"/"&amp;MID(C519,9,4)&amp;"-"&amp;MID(C519,13,2))</f>
        <v>11.162.323/0001-06</v>
      </c>
      <c r="E519" s="4" t="str">
        <f aca="false">IF(ISNA(MATCH(A519,cnpj!$A:$A,0)),"Lotação não existe na aba cnpj",IF(B519="","Sem CNPJ na aba cnpj","OK"))</f>
        <v>OK</v>
      </c>
    </row>
    <row r="520" customFormat="false" ht="15" hidden="false" customHeight="false" outlineLevel="0" collapsed="false">
      <c r="A520" s="4" t="n">
        <f aca="false">sisgi!A520</f>
        <v>153958</v>
      </c>
      <c r="B520" s="5" t="str">
        <f aca="false">IFERROR(IF(INDEX(cnpj!$B:$B,MATCH(A520,cnpj!$A:$A,0))="","",INDEX(cnpj!$B:$B,MATCH(A520,cnpj!$A:$A,0))),"")</f>
        <v>10.664.430/0001-61</v>
      </c>
      <c r="C520" s="5" t="str">
        <f aca="false">IF(B520="","",RIGHT("00000000000000"&amp;SUBSTITUTE(SUBSTITUTE(SUBSTITUTE(SUBSTITUTE(B520,".",""),"/",""),"-","")," ",""),14))</f>
        <v>10664430000161</v>
      </c>
      <c r="D520" s="5" t="str">
        <f aca="false">IF(C520="","",MID(C520,1,2)&amp;"."&amp;MID(C520,3,3)&amp;"."&amp;MID(C520,6,3)&amp;"/"&amp;MID(C520,9,4)&amp;"-"&amp;MID(C520,13,2))</f>
        <v>10.664.430/0001-61</v>
      </c>
      <c r="E520" s="4" t="str">
        <f aca="false">IF(ISNA(MATCH(A520,cnpj!$A:$A,0)),"Lotação não existe na aba cnpj",IF(B520="","Sem CNPJ na aba cnpj","OK"))</f>
        <v>OK</v>
      </c>
    </row>
    <row r="521" customFormat="false" ht="15" hidden="false" customHeight="false" outlineLevel="0" collapsed="false">
      <c r="A521" s="4" t="n">
        <f aca="false">sisgi!A521</f>
        <v>154016</v>
      </c>
      <c r="B521" s="5" t="str">
        <f aca="false">IFERROR(IF(INDEX(cnpj!$B:$B,MATCH(A521,cnpj!$A:$A,0))="","",INDEX(cnpj!$B:$B,MATCH(A521,cnpj!$A:$A,0))),"")</f>
        <v>01.491.849/0001-78</v>
      </c>
      <c r="C521" s="5" t="str">
        <f aca="false">IF(B521="","",RIGHT("00000000000000"&amp;SUBSTITUTE(SUBSTITUTE(SUBSTITUTE(SUBSTITUTE(B521,".",""),"/",""),"-","")," ",""),14))</f>
        <v>01491849000178</v>
      </c>
      <c r="D521" s="5" t="str">
        <f aca="false">IF(C521="","",MID(C521,1,2)&amp;"."&amp;MID(C521,3,3)&amp;"."&amp;MID(C521,6,3)&amp;"/"&amp;MID(C521,9,4)&amp;"-"&amp;MID(C521,13,2))</f>
        <v>01.491.849/0001-78</v>
      </c>
      <c r="E521" s="4" t="str">
        <f aca="false">IF(ISNA(MATCH(A521,cnpj!$A:$A,0)),"Lotação não existe na aba cnpj",IF(B521="","Sem CNPJ na aba cnpj","OK"))</f>
        <v>OK</v>
      </c>
    </row>
    <row r="522" customFormat="false" ht="15" hidden="false" customHeight="false" outlineLevel="0" collapsed="false">
      <c r="A522" s="4" t="n">
        <f aca="false">sisgi!A522</f>
        <v>154040</v>
      </c>
      <c r="B522" s="5" t="str">
        <f aca="false">IFERROR(IF(INDEX(cnpj!$B:$B,MATCH(A522,cnpj!$A:$A,0))="","",INDEX(cnpj!$B:$B,MATCH(A522,cnpj!$A:$A,0))),"")</f>
        <v>04.111.980/0001-50</v>
      </c>
      <c r="C522" s="5" t="str">
        <f aca="false">IF(B522="","",RIGHT("00000000000000"&amp;SUBSTITUTE(SUBSTITUTE(SUBSTITUTE(SUBSTITUTE(B522,".",""),"/",""),"-","")," ",""),14))</f>
        <v>04111980000150</v>
      </c>
      <c r="D522" s="5" t="str">
        <f aca="false">IF(C522="","",MID(C522,1,2)&amp;"."&amp;MID(C522,3,3)&amp;"."&amp;MID(C522,6,3)&amp;"/"&amp;MID(C522,9,4)&amp;"-"&amp;MID(C522,13,2))</f>
        <v>04.111.980/0001-50</v>
      </c>
      <c r="E522" s="4" t="str">
        <f aca="false">IF(ISNA(MATCH(A522,cnpj!$A:$A,0)),"Lotação não existe na aba cnpj",IF(B522="","Sem CNPJ na aba cnpj","OK"))</f>
        <v>OK</v>
      </c>
    </row>
    <row r="523" customFormat="false" ht="15" hidden="false" customHeight="false" outlineLevel="0" collapsed="false">
      <c r="A523" s="4" t="n">
        <f aca="false">sisgi!A523</f>
        <v>154059</v>
      </c>
      <c r="B523" s="5" t="str">
        <f aca="false">IFERROR(IF(INDEX(cnpj!$B:$B,MATCH(A523,cnpj!$A:$A,0))="","",INDEX(cnpj!$B:$B,MATCH(A523,cnpj!$A:$A,0))),"")</f>
        <v>10.842.297/0001-96</v>
      </c>
      <c r="C523" s="5" t="str">
        <f aca="false">IF(B523="","",RIGHT("00000000000000"&amp;SUBSTITUTE(SUBSTITUTE(SUBSTITUTE(SUBSTITUTE(B523,".",""),"/",""),"-","")," ",""),14))</f>
        <v>10842297000196</v>
      </c>
      <c r="D523" s="5" t="str">
        <f aca="false">IF(C523="","",MID(C523,1,2)&amp;"."&amp;MID(C523,3,3)&amp;"."&amp;MID(C523,6,3)&amp;"/"&amp;MID(C523,9,4)&amp;"-"&amp;MID(C523,13,2))</f>
        <v>10.842.297/0001-96</v>
      </c>
      <c r="E523" s="4" t="str">
        <f aca="false">IF(ISNA(MATCH(A523,cnpj!$A:$A,0)),"Lotação não existe na aba cnpj",IF(B523="","Sem CNPJ na aba cnpj","OK"))</f>
        <v>OK</v>
      </c>
    </row>
    <row r="524" customFormat="false" ht="15" hidden="false" customHeight="false" outlineLevel="0" collapsed="false">
      <c r="A524" s="4" t="n">
        <f aca="false">sisgi!A524</f>
        <v>154156</v>
      </c>
      <c r="B524" s="5" t="str">
        <f aca="false">IFERROR(IF(INDEX(cnpj!$B:$B,MATCH(A524,cnpj!$A:$A,0))="","",INDEX(cnpj!$B:$B,MATCH(A524,cnpj!$A:$A,0))),"")</f>
        <v>10.723.758/0001-01</v>
      </c>
      <c r="C524" s="5" t="str">
        <f aca="false">IF(B524="","",RIGHT("00000000000000"&amp;SUBSTITUTE(SUBSTITUTE(SUBSTITUTE(SUBSTITUTE(B524,".",""),"/",""),"-","")," ",""),14))</f>
        <v>10723758000101</v>
      </c>
      <c r="D524" s="5" t="str">
        <f aca="false">IF(C524="","",MID(C524,1,2)&amp;"."&amp;MID(C524,3,3)&amp;"."&amp;MID(C524,6,3)&amp;"/"&amp;MID(C524,9,4)&amp;"-"&amp;MID(C524,13,2))</f>
        <v>10.723.758/0001-01</v>
      </c>
      <c r="E524" s="4" t="str">
        <f aca="false">IF(ISNA(MATCH(A524,cnpj!$A:$A,0)),"Lotação não existe na aba cnpj",IF(B524="","Sem CNPJ na aba cnpj","OK"))</f>
        <v>OK</v>
      </c>
    </row>
    <row r="525" customFormat="false" ht="15" hidden="false" customHeight="false" outlineLevel="0" collapsed="false">
      <c r="A525" s="4" t="n">
        <f aca="false">sisgi!A525</f>
        <v>154164</v>
      </c>
      <c r="B525" s="5" t="str">
        <f aca="false">IFERROR(IF(INDEX(cnpj!$B:$B,MATCH(A525,cnpj!$A:$A,0))="","",INDEX(cnpj!$B:$B,MATCH(A525,cnpj!$A:$A,0))),"")</f>
        <v>11.029.783/0001-52</v>
      </c>
      <c r="C525" s="5" t="str">
        <f aca="false">IF(B525="","",RIGHT("00000000000000"&amp;SUBSTITUTE(SUBSTITUTE(SUBSTITUTE(SUBSTITUTE(B525,".",""),"/",""),"-","")," ",""),14))</f>
        <v>11029783000152</v>
      </c>
      <c r="D525" s="5" t="str">
        <f aca="false">IF(C525="","",MID(C525,1,2)&amp;"."&amp;MID(C525,3,3)&amp;"."&amp;MID(C525,6,3)&amp;"/"&amp;MID(C525,9,4)&amp;"-"&amp;MID(C525,13,2))</f>
        <v>11.029.783/0001-52</v>
      </c>
      <c r="E525" s="4" t="str">
        <f aca="false">IF(ISNA(MATCH(A525,cnpj!$A:$A,0)),"Lotação não existe na aba cnpj",IF(B525="","Sem CNPJ na aba cnpj","OK"))</f>
        <v>OK</v>
      </c>
    </row>
    <row r="526" customFormat="false" ht="15" hidden="false" customHeight="false" outlineLevel="0" collapsed="false">
      <c r="A526" s="4" t="n">
        <f aca="false">sisgi!A526</f>
        <v>154172</v>
      </c>
      <c r="B526" s="5" t="str">
        <f aca="false">IFERROR(IF(INDEX(cnpj!$B:$B,MATCH(A526,cnpj!$A:$A,0))="","",INDEX(cnpj!$B:$B,MATCH(A526,cnpj!$A:$A,0))),"")</f>
        <v>11.274.314/0001-07</v>
      </c>
      <c r="C526" s="5" t="str">
        <f aca="false">IF(B526="","",RIGHT("00000000000000"&amp;SUBSTITUTE(SUBSTITUTE(SUBSTITUTE(SUBSTITUTE(B526,".",""),"/",""),"-","")," ",""),14))</f>
        <v>11274314000107</v>
      </c>
      <c r="D526" s="5" t="str">
        <f aca="false">IF(C526="","",MID(C526,1,2)&amp;"."&amp;MID(C526,3,3)&amp;"."&amp;MID(C526,6,3)&amp;"/"&amp;MID(C526,9,4)&amp;"-"&amp;MID(C526,13,2))</f>
        <v>11.274.314/0001-07</v>
      </c>
      <c r="E526" s="4" t="str">
        <f aca="false">IF(ISNA(MATCH(A526,cnpj!$A:$A,0)),"Lotação não existe na aba cnpj",IF(B526="","Sem CNPJ na aba cnpj","OK"))</f>
        <v>OK</v>
      </c>
    </row>
    <row r="527" customFormat="false" ht="15" hidden="false" customHeight="false" outlineLevel="0" collapsed="false">
      <c r="A527" s="4" t="n">
        <f aca="false">sisgi!A527</f>
        <v>154180</v>
      </c>
      <c r="B527" s="5" t="str">
        <f aca="false">IFERROR(IF(INDEX(cnpj!$B:$B,MATCH(A527,cnpj!$A:$A,0))="","",INDEX(cnpj!$B:$B,MATCH(A527,cnpj!$A:$A,0))),"")</f>
        <v>11.683.168/0001-65</v>
      </c>
      <c r="C527" s="5" t="str">
        <f aca="false">IF(B527="","",RIGHT("00000000000000"&amp;SUBSTITUTE(SUBSTITUTE(SUBSTITUTE(SUBSTITUTE(B527,".",""),"/",""),"-","")," ",""),14))</f>
        <v>11683168000165</v>
      </c>
      <c r="D527" s="5" t="str">
        <f aca="false">IF(C527="","",MID(C527,1,2)&amp;"."&amp;MID(C527,3,3)&amp;"."&amp;MID(C527,6,3)&amp;"/"&amp;MID(C527,9,4)&amp;"-"&amp;MID(C527,13,2))</f>
        <v>11.683.168/0001-65</v>
      </c>
      <c r="E527" s="4" t="str">
        <f aca="false">IF(ISNA(MATCH(A527,cnpj!$A:$A,0)),"Lotação não existe na aba cnpj",IF(B527="","Sem CNPJ na aba cnpj","OK"))</f>
        <v>OK</v>
      </c>
    </row>
    <row r="528" customFormat="false" ht="15" hidden="false" customHeight="false" outlineLevel="0" collapsed="false">
      <c r="A528" s="4" t="n">
        <f aca="false">sisgi!A528</f>
        <v>154695</v>
      </c>
      <c r="B528" s="5" t="str">
        <f aca="false">IFERROR(IF(INDEX(cnpj!$B:$B,MATCH(A528,cnpj!$A:$A,0))="","",INDEX(cnpj!$B:$B,MATCH(A528,cnpj!$A:$A,0))),"")</f>
        <v>10.813.529/0001-88</v>
      </c>
      <c r="C528" s="5" t="str">
        <f aca="false">IF(B528="","",RIGHT("00000000000000"&amp;SUBSTITUTE(SUBSTITUTE(SUBSTITUTE(SUBSTITUTE(B528,".",""),"/",""),"-","")," ",""),14))</f>
        <v>10813529000188</v>
      </c>
      <c r="D528" s="5" t="str">
        <f aca="false">IF(C528="","",MID(C528,1,2)&amp;"."&amp;MID(C528,3,3)&amp;"."&amp;MID(C528,6,3)&amp;"/"&amp;MID(C528,9,4)&amp;"-"&amp;MID(C528,13,2))</f>
        <v>10.813.529/0001-88</v>
      </c>
      <c r="E528" s="4" t="str">
        <f aca="false">IF(ISNA(MATCH(A528,cnpj!$A:$A,0)),"Lotação não existe na aba cnpj",IF(B528="","Sem CNPJ na aba cnpj","OK"))</f>
        <v>OK</v>
      </c>
    </row>
    <row r="529" customFormat="false" ht="15" hidden="false" customHeight="false" outlineLevel="0" collapsed="false">
      <c r="A529" s="4" t="n">
        <f aca="false">sisgi!A529</f>
        <v>154938</v>
      </c>
      <c r="B529" s="5" t="str">
        <f aca="false">IFERROR(IF(INDEX(cnpj!$B:$B,MATCH(A529,cnpj!$A:$A,0))="","",INDEX(cnpj!$B:$B,MATCH(A529,cnpj!$A:$A,0))),"")</f>
        <v>10.913.511/0001-58</v>
      </c>
      <c r="C529" s="5" t="str">
        <f aca="false">IF(B529="","",RIGHT("00000000000000"&amp;SUBSTITUTE(SUBSTITUTE(SUBSTITUTE(SUBSTITUTE(B529,".",""),"/",""),"-","")," ",""),14))</f>
        <v>10913511000158</v>
      </c>
      <c r="D529" s="5" t="str">
        <f aca="false">IF(C529="","",MID(C529,1,2)&amp;"."&amp;MID(C529,3,3)&amp;"."&amp;MID(C529,6,3)&amp;"/"&amp;MID(C529,9,4)&amp;"-"&amp;MID(C529,13,2))</f>
        <v>10.913.511/0001-58</v>
      </c>
      <c r="E529" s="4" t="str">
        <f aca="false">IF(ISNA(MATCH(A529,cnpj!$A:$A,0)),"Lotação não existe na aba cnpj",IF(B529="","Sem CNPJ na aba cnpj","OK"))</f>
        <v>OK</v>
      </c>
    </row>
    <row r="530" customFormat="false" ht="15" hidden="false" customHeight="false" outlineLevel="0" collapsed="false">
      <c r="A530" s="4" t="n">
        <f aca="false">sisgi!A530</f>
        <v>154970</v>
      </c>
      <c r="B530" s="5" t="str">
        <f aca="false">IFERROR(IF(INDEX(cnpj!$B:$B,MATCH(A530,cnpj!$A:$A,0))="","",INDEX(cnpj!$B:$B,MATCH(A530,cnpj!$A:$A,0))),"")</f>
        <v>10.943.895/0001-51</v>
      </c>
      <c r="C530" s="5" t="str">
        <f aca="false">IF(B530="","",RIGHT("00000000000000"&amp;SUBSTITUTE(SUBSTITUTE(SUBSTITUTE(SUBSTITUTE(B530,".",""),"/",""),"-","")," ",""),14))</f>
        <v>10943895000151</v>
      </c>
      <c r="D530" s="5" t="str">
        <f aca="false">IF(C530="","",MID(C530,1,2)&amp;"."&amp;MID(C530,3,3)&amp;"."&amp;MID(C530,6,3)&amp;"/"&amp;MID(C530,9,4)&amp;"-"&amp;MID(C530,13,2))</f>
        <v>10.943.895/0001-51</v>
      </c>
      <c r="E530" s="4" t="str">
        <f aca="false">IF(ISNA(MATCH(A530,cnpj!$A:$A,0)),"Lotação não existe na aba cnpj",IF(B530="","Sem CNPJ na aba cnpj","OK"))</f>
        <v>OK</v>
      </c>
    </row>
    <row r="531" customFormat="false" ht="15" hidden="false" customHeight="false" outlineLevel="0" collapsed="false">
      <c r="A531" s="4" t="n">
        <f aca="false">sisgi!A531</f>
        <v>154989</v>
      </c>
      <c r="B531" s="5" t="str">
        <f aca="false">IFERROR(IF(INDEX(cnpj!$B:$B,MATCH(A531,cnpj!$A:$A,0))="","",INDEX(cnpj!$B:$B,MATCH(A531,cnpj!$A:$A,0))),"")</f>
        <v>10.949.229/0001-20</v>
      </c>
      <c r="C531" s="5" t="str">
        <f aca="false">IF(B531="","",RIGHT("00000000000000"&amp;SUBSTITUTE(SUBSTITUTE(SUBSTITUTE(SUBSTITUTE(B531,".",""),"/",""),"-","")," ",""),14))</f>
        <v>10949229000120</v>
      </c>
      <c r="D531" s="5" t="str">
        <f aca="false">IF(C531="","",MID(C531,1,2)&amp;"."&amp;MID(C531,3,3)&amp;"."&amp;MID(C531,6,3)&amp;"/"&amp;MID(C531,9,4)&amp;"-"&amp;MID(C531,13,2))</f>
        <v>10.949.229/0001-20</v>
      </c>
      <c r="E531" s="4" t="str">
        <f aca="false">IF(ISNA(MATCH(A531,cnpj!$A:$A,0)),"Lotação não existe na aba cnpj",IF(B531="","Sem CNPJ na aba cnpj","OK"))</f>
        <v>OK</v>
      </c>
    </row>
    <row r="532" customFormat="false" ht="15" hidden="false" customHeight="false" outlineLevel="0" collapsed="false">
      <c r="A532" s="4" t="n">
        <f aca="false">sisgi!A532</f>
        <v>155128</v>
      </c>
      <c r="B532" s="5" t="str">
        <f aca="false">IFERROR(IF(INDEX(cnpj!$B:$B,MATCH(A532,cnpj!$A:$A,0))="","",INDEX(cnpj!$B:$B,MATCH(A532,cnpj!$A:$A,0))),"")</f>
        <v>11.196.025/0001-29</v>
      </c>
      <c r="C532" s="5" t="str">
        <f aca="false">IF(B532="","",RIGHT("00000000000000"&amp;SUBSTITUTE(SUBSTITUTE(SUBSTITUTE(SUBSTITUTE(B532,".",""),"/",""),"-","")," ",""),14))</f>
        <v>11196025000129</v>
      </c>
      <c r="D532" s="5" t="str">
        <f aca="false">IF(C532="","",MID(C532,1,2)&amp;"."&amp;MID(C532,3,3)&amp;"."&amp;MID(C532,6,3)&amp;"/"&amp;MID(C532,9,4)&amp;"-"&amp;MID(C532,13,2))</f>
        <v>11.196.025/0001-29</v>
      </c>
      <c r="E532" s="4" t="str">
        <f aca="false">IF(ISNA(MATCH(A532,cnpj!$A:$A,0)),"Lotação não existe na aba cnpj",IF(B532="","Sem CNPJ na aba cnpj","OK"))</f>
        <v>OK</v>
      </c>
    </row>
    <row r="533" customFormat="false" ht="15" hidden="false" customHeight="false" outlineLevel="0" collapsed="false">
      <c r="A533" s="4" t="n">
        <f aca="false">sisgi!A533</f>
        <v>156000</v>
      </c>
      <c r="B533" s="5" t="str">
        <f aca="false">IFERROR(IF(INDEX(cnpj!$B:$B,MATCH(A533,cnpj!$A:$A,0))="","",INDEX(cnpj!$B:$B,MATCH(A533,cnpj!$A:$A,0))),"")</f>
        <v>11.821.792/0001-81</v>
      </c>
      <c r="C533" s="5" t="str">
        <f aca="false">IF(B533="","",RIGHT("00000000000000"&amp;SUBSTITUTE(SUBSTITUTE(SUBSTITUTE(SUBSTITUTE(B533,".",""),"/",""),"-","")," ",""),14))</f>
        <v>11821792000181</v>
      </c>
      <c r="D533" s="5" t="str">
        <f aca="false">IF(C533="","",MID(C533,1,2)&amp;"."&amp;MID(C533,3,3)&amp;"."&amp;MID(C533,6,3)&amp;"/"&amp;MID(C533,9,4)&amp;"-"&amp;MID(C533,13,2))</f>
        <v>11.821.792/0001-81</v>
      </c>
      <c r="E533" s="4" t="str">
        <f aca="false">IF(ISNA(MATCH(A533,cnpj!$A:$A,0)),"Lotação não existe na aba cnpj",IF(B533="","Sem CNPJ na aba cnpj","OK"))</f>
        <v>OK</v>
      </c>
    </row>
    <row r="534" customFormat="false" ht="15" hidden="false" customHeight="false" outlineLevel="0" collapsed="false">
      <c r="A534" s="4" t="n">
        <f aca="false">sisgi!A534</f>
        <v>156230</v>
      </c>
      <c r="B534" s="5" t="str">
        <f aca="false">IFERROR(IF(INDEX(cnpj!$B:$B,MATCH(A534,cnpj!$A:$A,0))="","",INDEX(cnpj!$B:$B,MATCH(A534,cnpj!$A:$A,0))),"")</f>
        <v>11.098.015/0001-50</v>
      </c>
      <c r="C534" s="5" t="str">
        <f aca="false">IF(B534="","",RIGHT("00000000000000"&amp;SUBSTITUTE(SUBSTITUTE(SUBSTITUTE(SUBSTITUTE(B534,".",""),"/",""),"-","")," ",""),14))</f>
        <v>11098015000150</v>
      </c>
      <c r="D534" s="5" t="str">
        <f aca="false">IF(C534="","",MID(C534,1,2)&amp;"."&amp;MID(C534,3,3)&amp;"."&amp;MID(C534,6,3)&amp;"/"&amp;MID(C534,9,4)&amp;"-"&amp;MID(C534,13,2))</f>
        <v>11.098.015/0001-50</v>
      </c>
      <c r="E534" s="4" t="str">
        <f aca="false">IF(ISNA(MATCH(A534,cnpj!$A:$A,0)),"Lotação não existe na aba cnpj",IF(B534="","Sem CNPJ na aba cnpj","OK"))</f>
        <v>OK</v>
      </c>
    </row>
    <row r="535" customFormat="false" ht="15" hidden="false" customHeight="false" outlineLevel="0" collapsed="false">
      <c r="A535" s="4" t="n">
        <f aca="false">sisgi!A535</f>
        <v>156345</v>
      </c>
      <c r="B535" s="5" t="str">
        <f aca="false">IFERROR(IF(INDEX(cnpj!$B:$B,MATCH(A535,cnpj!$A:$A,0))="","",INDEX(cnpj!$B:$B,MATCH(A535,cnpj!$A:$A,0))),"")</f>
        <v>11.759.742/0001-11</v>
      </c>
      <c r="C535" s="5" t="str">
        <f aca="false">IF(B535="","",RIGHT("00000000000000"&amp;SUBSTITUTE(SUBSTITUTE(SUBSTITUTE(SUBSTITUTE(B535,".",""),"/",""),"-","")," ",""),14))</f>
        <v>11759742000111</v>
      </c>
      <c r="D535" s="5" t="str">
        <f aca="false">IF(C535="","",MID(C535,1,2)&amp;"."&amp;MID(C535,3,3)&amp;"."&amp;MID(C535,6,3)&amp;"/"&amp;MID(C535,9,4)&amp;"-"&amp;MID(C535,13,2))</f>
        <v>11.759.742/0001-11</v>
      </c>
      <c r="E535" s="4" t="str">
        <f aca="false">IF(ISNA(MATCH(A535,cnpj!$A:$A,0)),"Lotação não existe na aba cnpj",IF(B535="","Sem CNPJ na aba cnpj","OK"))</f>
        <v>OK</v>
      </c>
    </row>
    <row r="536" customFormat="false" ht="15" hidden="false" customHeight="false" outlineLevel="0" collapsed="false">
      <c r="A536" s="4" t="n">
        <f aca="false">sisgi!A536</f>
        <v>156353</v>
      </c>
      <c r="B536" s="5" t="str">
        <f aca="false">IFERROR(IF(INDEX(cnpj!$B:$B,MATCH(A536,cnpj!$A:$A,0))="","",INDEX(cnpj!$B:$B,MATCH(A536,cnpj!$A:$A,0))),"")</f>
        <v>11.635.807/0001-17</v>
      </c>
      <c r="C536" s="5" t="str">
        <f aca="false">IF(B536="","",RIGHT("00000000000000"&amp;SUBSTITUTE(SUBSTITUTE(SUBSTITUTE(SUBSTITUTE(B536,".",""),"/",""),"-","")," ",""),14))</f>
        <v>11635807000117</v>
      </c>
      <c r="D536" s="5" t="str">
        <f aca="false">IF(C536="","",MID(C536,1,2)&amp;"."&amp;MID(C536,3,3)&amp;"."&amp;MID(C536,6,3)&amp;"/"&amp;MID(C536,9,4)&amp;"-"&amp;MID(C536,13,2))</f>
        <v>11.635.807/0001-17</v>
      </c>
      <c r="E536" s="4" t="str">
        <f aca="false">IF(ISNA(MATCH(A536,cnpj!$A:$A,0)),"Lotação não existe na aba cnpj",IF(B536="","Sem CNPJ na aba cnpj","OK"))</f>
        <v>OK</v>
      </c>
    </row>
    <row r="537" customFormat="false" ht="15" hidden="false" customHeight="false" outlineLevel="0" collapsed="false">
      <c r="A537" s="4" t="n">
        <f aca="false">sisgi!A537</f>
        <v>156361</v>
      </c>
      <c r="B537" s="5" t="str">
        <f aca="false">IFERROR(IF(INDEX(cnpj!$B:$B,MATCH(A537,cnpj!$A:$A,0))="","",INDEX(cnpj!$B:$B,MATCH(A537,cnpj!$A:$A,0))),"")</f>
        <v>11.727.749/0001-51</v>
      </c>
      <c r="C537" s="5" t="str">
        <f aca="false">IF(B537="","",RIGHT("00000000000000"&amp;SUBSTITUTE(SUBSTITUTE(SUBSTITUTE(SUBSTITUTE(B537,".",""),"/",""),"-","")," ",""),14))</f>
        <v>11727749000151</v>
      </c>
      <c r="D537" s="5" t="str">
        <f aca="false">IF(C537="","",MID(C537,1,2)&amp;"."&amp;MID(C537,3,3)&amp;"."&amp;MID(C537,6,3)&amp;"/"&amp;MID(C537,9,4)&amp;"-"&amp;MID(C537,13,2))</f>
        <v>11.727.749/0001-51</v>
      </c>
      <c r="E537" s="4" t="str">
        <f aca="false">IF(ISNA(MATCH(A537,cnpj!$A:$A,0)),"Lotação não existe na aba cnpj",IF(B537="","Sem CNPJ na aba cnpj","OK"))</f>
        <v>OK</v>
      </c>
    </row>
    <row r="538" customFormat="false" ht="15" hidden="false" customHeight="false" outlineLevel="0" collapsed="false">
      <c r="A538" s="4" t="n">
        <f aca="false">sisgi!A538</f>
        <v>156370</v>
      </c>
      <c r="B538" s="5" t="str">
        <f aca="false">IFERROR(IF(INDEX(cnpj!$B:$B,MATCH(A538,cnpj!$A:$A,0))="","",INDEX(cnpj!$B:$B,MATCH(A538,cnpj!$A:$A,0))),"")</f>
        <v>11.770.843/0001-93</v>
      </c>
      <c r="C538" s="5" t="str">
        <f aca="false">IF(B538="","",RIGHT("00000000000000"&amp;SUBSTITUTE(SUBSTITUTE(SUBSTITUTE(SUBSTITUTE(B538,".",""),"/",""),"-","")," ",""),14))</f>
        <v>11770843000193</v>
      </c>
      <c r="D538" s="5" t="str">
        <f aca="false">IF(C538="","",MID(C538,1,2)&amp;"."&amp;MID(C538,3,3)&amp;"."&amp;MID(C538,6,3)&amp;"/"&amp;MID(C538,9,4)&amp;"-"&amp;MID(C538,13,2))</f>
        <v>11.770.843/0001-93</v>
      </c>
      <c r="E538" s="4" t="str">
        <f aca="false">IF(ISNA(MATCH(A538,cnpj!$A:$A,0)),"Lotação não existe na aba cnpj",IF(B538="","Sem CNPJ na aba cnpj","OK"))</f>
        <v>OK</v>
      </c>
    </row>
    <row r="539" customFormat="false" ht="15" hidden="false" customHeight="false" outlineLevel="0" collapsed="false">
      <c r="A539" s="4" t="n">
        <f aca="false">sisgi!A539</f>
        <v>156388</v>
      </c>
      <c r="B539" s="5" t="str">
        <f aca="false">IFERROR(IF(INDEX(cnpj!$B:$B,MATCH(A539,cnpj!$A:$A,0))="","",INDEX(cnpj!$B:$B,MATCH(A539,cnpj!$A:$A,0))),"")</f>
        <v>08.952.668/0001-40</v>
      </c>
      <c r="C539" s="5" t="str">
        <f aca="false">IF(B539="","",RIGHT("00000000000000"&amp;SUBSTITUTE(SUBSTITUTE(SUBSTITUTE(SUBSTITUTE(B539,".",""),"/",""),"-","")," ",""),14))</f>
        <v>08952668000140</v>
      </c>
      <c r="D539" s="5" t="str">
        <f aca="false">IF(C539="","",MID(C539,1,2)&amp;"."&amp;MID(C539,3,3)&amp;"."&amp;MID(C539,6,3)&amp;"/"&amp;MID(C539,9,4)&amp;"-"&amp;MID(C539,13,2))</f>
        <v>08.952.668/0001-40</v>
      </c>
      <c r="E539" s="4" t="str">
        <f aca="false">IF(ISNA(MATCH(A539,cnpj!$A:$A,0)),"Lotação não existe na aba cnpj",IF(B539="","Sem CNPJ na aba cnpj","OK"))</f>
        <v>OK</v>
      </c>
    </row>
    <row r="540" customFormat="false" ht="15" hidden="false" customHeight="false" outlineLevel="0" collapsed="false">
      <c r="A540" s="4" t="n">
        <f aca="false">sisgi!A540</f>
        <v>156434</v>
      </c>
      <c r="B540" s="5" t="str">
        <f aca="false">IFERROR(IF(INDEX(cnpj!$B:$B,MATCH(A540,cnpj!$A:$A,0))="","",INDEX(cnpj!$B:$B,MATCH(A540,cnpj!$A:$A,0))),"")</f>
        <v>11.944.437/0001-08</v>
      </c>
      <c r="C540" s="5" t="str">
        <f aca="false">IF(B540="","",RIGHT("00000000000000"&amp;SUBSTITUTE(SUBSTITUTE(SUBSTITUTE(SUBSTITUTE(B540,".",""),"/",""),"-","")," ",""),14))</f>
        <v>11944437000108</v>
      </c>
      <c r="D540" s="5" t="str">
        <f aca="false">IF(C540="","",MID(C540,1,2)&amp;"."&amp;MID(C540,3,3)&amp;"."&amp;MID(C540,6,3)&amp;"/"&amp;MID(C540,9,4)&amp;"-"&amp;MID(C540,13,2))</f>
        <v>11.944.437/0001-08</v>
      </c>
      <c r="E540" s="4" t="str">
        <f aca="false">IF(ISNA(MATCH(A540,cnpj!$A:$A,0)),"Lotação não existe na aba cnpj",IF(B540="","Sem CNPJ na aba cnpj","OK"))</f>
        <v>OK</v>
      </c>
    </row>
    <row r="541" customFormat="false" ht="15" hidden="false" customHeight="false" outlineLevel="0" collapsed="false">
      <c r="A541" s="4" t="n">
        <f aca="false">sisgi!A541</f>
        <v>157236</v>
      </c>
      <c r="B541" s="5" t="str">
        <f aca="false">IFERROR(IF(INDEX(cnpj!$B:$B,MATCH(A541,cnpj!$A:$A,0))="","",INDEX(cnpj!$B:$B,MATCH(A541,cnpj!$A:$A,0))),"")</f>
        <v>11.515.591/0001-56</v>
      </c>
      <c r="C541" s="5" t="str">
        <f aca="false">IF(B541="","",RIGHT("00000000000000"&amp;SUBSTITUTE(SUBSTITUTE(SUBSTITUTE(SUBSTITUTE(B541,".",""),"/",""),"-","")," ",""),14))</f>
        <v>11515591000156</v>
      </c>
      <c r="D541" s="5" t="str">
        <f aca="false">IF(C541="","",MID(C541,1,2)&amp;"."&amp;MID(C541,3,3)&amp;"."&amp;MID(C541,6,3)&amp;"/"&amp;MID(C541,9,4)&amp;"-"&amp;MID(C541,13,2))</f>
        <v>11.515.591/0001-56</v>
      </c>
      <c r="E541" s="4" t="str">
        <f aca="false">IF(ISNA(MATCH(A541,cnpj!$A:$A,0)),"Lotação não existe na aba cnpj",IF(B541="","Sem CNPJ na aba cnpj","OK"))</f>
        <v>OK</v>
      </c>
    </row>
    <row r="542" customFormat="false" ht="15" hidden="false" customHeight="false" outlineLevel="0" collapsed="false">
      <c r="A542" s="4" t="n">
        <f aca="false">sisgi!A542</f>
        <v>157244</v>
      </c>
      <c r="B542" s="5" t="str">
        <f aca="false">IFERROR(IF(INDEX(cnpj!$B:$B,MATCH(A542,cnpj!$A:$A,0))="","",INDEX(cnpj!$B:$B,MATCH(A542,cnpj!$A:$A,0))),"")</f>
        <v>11.609.660/0001-90</v>
      </c>
      <c r="C542" s="5" t="str">
        <f aca="false">IF(B542="","",RIGHT("00000000000000"&amp;SUBSTITUTE(SUBSTITUTE(SUBSTITUTE(SUBSTITUTE(B542,".",""),"/",""),"-","")," ",""),14))</f>
        <v>11609660000190</v>
      </c>
      <c r="D542" s="5" t="str">
        <f aca="false">IF(C542="","",MID(C542,1,2)&amp;"."&amp;MID(C542,3,3)&amp;"."&amp;MID(C542,6,3)&amp;"/"&amp;MID(C542,9,4)&amp;"-"&amp;MID(C542,13,2))</f>
        <v>11.609.660/0001-90</v>
      </c>
      <c r="E542" s="4" t="str">
        <f aca="false">IF(ISNA(MATCH(A542,cnpj!$A:$A,0)),"Lotação não existe na aba cnpj",IF(B542="","Sem CNPJ na aba cnpj","OK"))</f>
        <v>OK</v>
      </c>
    </row>
    <row r="543" customFormat="false" ht="15" hidden="false" customHeight="false" outlineLevel="0" collapsed="false">
      <c r="A543" s="4" t="n">
        <f aca="false">sisgi!A543</f>
        <v>157252</v>
      </c>
      <c r="B543" s="5" t="str">
        <f aca="false">IFERROR(IF(INDEX(cnpj!$B:$B,MATCH(A543,cnpj!$A:$A,0))="","",INDEX(cnpj!$B:$B,MATCH(A543,cnpj!$A:$A,0))),"")</f>
        <v>12.025.566/0001-57</v>
      </c>
      <c r="C543" s="5" t="str">
        <f aca="false">IF(B543="","",RIGHT("00000000000000"&amp;SUBSTITUTE(SUBSTITUTE(SUBSTITUTE(SUBSTITUTE(B543,".",""),"/",""),"-","")," ",""),14))</f>
        <v>12025566000157</v>
      </c>
      <c r="D543" s="5" t="str">
        <f aca="false">IF(C543="","",MID(C543,1,2)&amp;"."&amp;MID(C543,3,3)&amp;"."&amp;MID(C543,6,3)&amp;"/"&amp;MID(C543,9,4)&amp;"-"&amp;MID(C543,13,2))</f>
        <v>12.025.566/0001-57</v>
      </c>
      <c r="E543" s="4" t="str">
        <f aca="false">IF(ISNA(MATCH(A543,cnpj!$A:$A,0)),"Lotação não existe na aba cnpj",IF(B543="","Sem CNPJ na aba cnpj","OK"))</f>
        <v>OK</v>
      </c>
    </row>
    <row r="544" customFormat="false" ht="15" hidden="false" customHeight="false" outlineLevel="0" collapsed="false">
      <c r="A544" s="4" t="n">
        <f aca="false">sisgi!A544</f>
        <v>157260</v>
      </c>
      <c r="B544" s="5" t="str">
        <f aca="false">IFERROR(IF(INDEX(cnpj!$B:$B,MATCH(A544,cnpj!$A:$A,0))="","",INDEX(cnpj!$B:$B,MATCH(A544,cnpj!$A:$A,0))),"")</f>
        <v>11.583.673/0001-38</v>
      </c>
      <c r="C544" s="5" t="str">
        <f aca="false">IF(B544="","",RIGHT("00000000000000"&amp;SUBSTITUTE(SUBSTITUTE(SUBSTITUTE(SUBSTITUTE(B544,".",""),"/",""),"-","")," ",""),14))</f>
        <v>11583673000138</v>
      </c>
      <c r="D544" s="5" t="str">
        <f aca="false">IF(C544="","",MID(C544,1,2)&amp;"."&amp;MID(C544,3,3)&amp;"."&amp;MID(C544,6,3)&amp;"/"&amp;MID(C544,9,4)&amp;"-"&amp;MID(C544,13,2))</f>
        <v>11.583.673/0001-38</v>
      </c>
      <c r="E544" s="4" t="str">
        <f aca="false">IF(ISNA(MATCH(A544,cnpj!$A:$A,0)),"Lotação não existe na aba cnpj",IF(B544="","Sem CNPJ na aba cnpj","OK"))</f>
        <v>OK</v>
      </c>
    </row>
    <row r="545" customFormat="false" ht="15" hidden="false" customHeight="false" outlineLevel="0" collapsed="false">
      <c r="A545" s="4" t="n">
        <f aca="false">sisgi!A545</f>
        <v>158313</v>
      </c>
      <c r="B545" s="5" t="str">
        <f aca="false">IFERROR(IF(INDEX(cnpj!$B:$B,MATCH(A545,cnpj!$A:$A,0))="","",INDEX(cnpj!$B:$B,MATCH(A545,cnpj!$A:$A,0))),"")</f>
        <v>12.813.111/0001-04</v>
      </c>
      <c r="C545" s="5" t="str">
        <f aca="false">IF(B545="","",RIGHT("00000000000000"&amp;SUBSTITUTE(SUBSTITUTE(SUBSTITUTE(SUBSTITUTE(B545,".",""),"/",""),"-","")," ",""),14))</f>
        <v>12813111000104</v>
      </c>
      <c r="D545" s="5" t="str">
        <f aca="false">IF(C545="","",MID(C545,1,2)&amp;"."&amp;MID(C545,3,3)&amp;"."&amp;MID(C545,6,3)&amp;"/"&amp;MID(C545,9,4)&amp;"-"&amp;MID(C545,13,2))</f>
        <v>12.813.111/0001-04</v>
      </c>
      <c r="E545" s="4" t="str">
        <f aca="false">IF(ISNA(MATCH(A545,cnpj!$A:$A,0)),"Lotação não existe na aba cnpj",IF(B545="","Sem CNPJ na aba cnpj","OK"))</f>
        <v>OK</v>
      </c>
    </row>
    <row r="546" customFormat="false" ht="15" hidden="false" customHeight="false" outlineLevel="0" collapsed="false">
      <c r="A546" s="4" t="n">
        <f aca="false">sisgi!A546</f>
        <v>158330</v>
      </c>
      <c r="B546" s="5" t="str">
        <f aca="false">IFERROR(IF(INDEX(cnpj!$B:$B,MATCH(A546,cnpj!$A:$A,0))="","",INDEX(cnpj!$B:$B,MATCH(A546,cnpj!$A:$A,0))),"")</f>
        <v>11.906.357/0001-50</v>
      </c>
      <c r="C546" s="5" t="str">
        <f aca="false">IF(B546="","",RIGHT("00000000000000"&amp;SUBSTITUTE(SUBSTITUTE(SUBSTITUTE(SUBSTITUTE(B546,".",""),"/",""),"-","")," ",""),14))</f>
        <v>11906357000150</v>
      </c>
      <c r="D546" s="5" t="str">
        <f aca="false">IF(C546="","",MID(C546,1,2)&amp;"."&amp;MID(C546,3,3)&amp;"."&amp;MID(C546,6,3)&amp;"/"&amp;MID(C546,9,4)&amp;"-"&amp;MID(C546,13,2))</f>
        <v>11.906.357/0001-50</v>
      </c>
      <c r="E546" s="4" t="str">
        <f aca="false">IF(ISNA(MATCH(A546,cnpj!$A:$A,0)),"Lotação não existe na aba cnpj",IF(B546="","Sem CNPJ na aba cnpj","OK"))</f>
        <v>OK</v>
      </c>
    </row>
    <row r="547" customFormat="false" ht="15" hidden="false" customHeight="false" outlineLevel="0" collapsed="false">
      <c r="A547" s="4" t="n">
        <f aca="false">sisgi!A547</f>
        <v>158348</v>
      </c>
      <c r="B547" s="5" t="str">
        <f aca="false">IFERROR(IF(INDEX(cnpj!$B:$B,MATCH(A547,cnpj!$A:$A,0))="","",INDEX(cnpj!$B:$B,MATCH(A547,cnpj!$A:$A,0))),"")</f>
        <v>11.977.731/0001-08</v>
      </c>
      <c r="C547" s="5" t="str">
        <f aca="false">IF(B547="","",RIGHT("00000000000000"&amp;SUBSTITUTE(SUBSTITUTE(SUBSTITUTE(SUBSTITUTE(B547,".",""),"/",""),"-","")," ",""),14))</f>
        <v>11977731000108</v>
      </c>
      <c r="D547" s="5" t="str">
        <f aca="false">IF(C547="","",MID(C547,1,2)&amp;"."&amp;MID(C547,3,3)&amp;"."&amp;MID(C547,6,3)&amp;"/"&amp;MID(C547,9,4)&amp;"-"&amp;MID(C547,13,2))</f>
        <v>11.977.731/0001-08</v>
      </c>
      <c r="E547" s="4" t="str">
        <f aca="false">IF(ISNA(MATCH(A547,cnpj!$A:$A,0)),"Lotação não existe na aba cnpj",IF(B547="","Sem CNPJ na aba cnpj","OK"))</f>
        <v>OK</v>
      </c>
    </row>
    <row r="548" customFormat="false" ht="15" hidden="false" customHeight="false" outlineLevel="0" collapsed="false">
      <c r="A548" s="4" t="n">
        <f aca="false">sisgi!A548</f>
        <v>158364</v>
      </c>
      <c r="B548" s="5" t="str">
        <f aca="false">IFERROR(IF(INDEX(cnpj!$B:$B,MATCH(A548,cnpj!$A:$A,0))="","",INDEX(cnpj!$B:$B,MATCH(A548,cnpj!$A:$A,0))),"")</f>
        <v>11.989.146/0001-28</v>
      </c>
      <c r="C548" s="5" t="str">
        <f aca="false">IF(B548="","",RIGHT("00000000000000"&amp;SUBSTITUTE(SUBSTITUTE(SUBSTITUTE(SUBSTITUTE(B548,".",""),"/",""),"-","")," ",""),14))</f>
        <v>11989146000128</v>
      </c>
      <c r="D548" s="5" t="str">
        <f aca="false">IF(C548="","",MID(C548,1,2)&amp;"."&amp;MID(C548,3,3)&amp;"."&amp;MID(C548,6,3)&amp;"/"&amp;MID(C548,9,4)&amp;"-"&amp;MID(C548,13,2))</f>
        <v>11.989.146/0001-28</v>
      </c>
      <c r="E548" s="4" t="str">
        <f aca="false">IF(ISNA(MATCH(A548,cnpj!$A:$A,0)),"Lotação não existe na aba cnpj",IF(B548="","Sem CNPJ na aba cnpj","OK"))</f>
        <v>OK</v>
      </c>
    </row>
    <row r="549" customFormat="false" ht="15" hidden="false" customHeight="false" outlineLevel="0" collapsed="false">
      <c r="A549" s="4" t="n">
        <f aca="false">sisgi!A549</f>
        <v>158372</v>
      </c>
      <c r="B549" s="5" t="str">
        <f aca="false">IFERROR(IF(INDEX(cnpj!$B:$B,MATCH(A549,cnpj!$A:$A,0))="","",INDEX(cnpj!$B:$B,MATCH(A549,cnpj!$A:$A,0))),"")</f>
        <v>12.618.858/0001-01</v>
      </c>
      <c r="C549" s="5" t="str">
        <f aca="false">IF(B549="","",RIGHT("00000000000000"&amp;SUBSTITUTE(SUBSTITUTE(SUBSTITUTE(SUBSTITUTE(B549,".",""),"/",""),"-","")," ",""),14))</f>
        <v>12618858000101</v>
      </c>
      <c r="D549" s="5" t="str">
        <f aca="false">IF(C549="","",MID(C549,1,2)&amp;"."&amp;MID(C549,3,3)&amp;"."&amp;MID(C549,6,3)&amp;"/"&amp;MID(C549,9,4)&amp;"-"&amp;MID(C549,13,2))</f>
        <v>12.618.858/0001-01</v>
      </c>
      <c r="E549" s="4" t="str">
        <f aca="false">IF(ISNA(MATCH(A549,cnpj!$A:$A,0)),"Lotação não existe na aba cnpj",IF(B549="","Sem CNPJ na aba cnpj","OK"))</f>
        <v>OK</v>
      </c>
    </row>
    <row r="550" customFormat="false" ht="15" hidden="false" customHeight="false" outlineLevel="0" collapsed="false">
      <c r="A550" s="4" t="n">
        <f aca="false">sisgi!A550</f>
        <v>158380</v>
      </c>
      <c r="B550" s="5" t="str">
        <f aca="false">IFERROR(IF(INDEX(cnpj!$B:$B,MATCH(A550,cnpj!$A:$A,0))="","",INDEX(cnpj!$B:$B,MATCH(A550,cnpj!$A:$A,0))),"")</f>
        <v>12.066.739/0001-85</v>
      </c>
      <c r="C550" s="5" t="str">
        <f aca="false">IF(B550="","",RIGHT("00000000000000"&amp;SUBSTITUTE(SUBSTITUTE(SUBSTITUTE(SUBSTITUTE(B550,".",""),"/",""),"-","")," ",""),14))</f>
        <v>12066739000185</v>
      </c>
      <c r="D550" s="5" t="str">
        <f aca="false">IF(C550="","",MID(C550,1,2)&amp;"."&amp;MID(C550,3,3)&amp;"."&amp;MID(C550,6,3)&amp;"/"&amp;MID(C550,9,4)&amp;"-"&amp;MID(C550,13,2))</f>
        <v>12.066.739/0001-85</v>
      </c>
      <c r="E550" s="4" t="str">
        <f aca="false">IF(ISNA(MATCH(A550,cnpj!$A:$A,0)),"Lotação não existe na aba cnpj",IF(B550="","Sem CNPJ na aba cnpj","OK"))</f>
        <v>OK</v>
      </c>
    </row>
    <row r="551" customFormat="false" ht="15" hidden="false" customHeight="false" outlineLevel="0" collapsed="false">
      <c r="A551" s="4" t="n">
        <f aca="false">sisgi!A551</f>
        <v>158399</v>
      </c>
      <c r="B551" s="5" t="str">
        <f aca="false">IFERROR(IF(INDEX(cnpj!$B:$B,MATCH(A551,cnpj!$A:$A,0))="","",INDEX(cnpj!$B:$B,MATCH(A551,cnpj!$A:$A,0))),"")</f>
        <v>11.792.214/0001-64</v>
      </c>
      <c r="C551" s="5" t="str">
        <f aca="false">IF(B551="","",RIGHT("00000000000000"&amp;SUBSTITUTE(SUBSTITUTE(SUBSTITUTE(SUBSTITUTE(B551,".",""),"/",""),"-","")," ",""),14))</f>
        <v>11792214000164</v>
      </c>
      <c r="D551" s="5" t="str">
        <f aca="false">IF(C551="","",MID(C551,1,2)&amp;"."&amp;MID(C551,3,3)&amp;"."&amp;MID(C551,6,3)&amp;"/"&amp;MID(C551,9,4)&amp;"-"&amp;MID(C551,13,2))</f>
        <v>11.792.214/0001-64</v>
      </c>
      <c r="E551" s="4" t="str">
        <f aca="false">IF(ISNA(MATCH(A551,cnpj!$A:$A,0)),"Lotação não existe na aba cnpj",IF(B551="","Sem CNPJ na aba cnpj","OK"))</f>
        <v>OK</v>
      </c>
    </row>
    <row r="552" customFormat="false" ht="15" hidden="false" customHeight="false" outlineLevel="0" collapsed="false">
      <c r="A552" s="4" t="n">
        <f aca="false">sisgi!A552</f>
        <v>158615</v>
      </c>
      <c r="B552" s="5" t="str">
        <f aca="false">IFERROR(IF(INDEX(cnpj!$B:$B,MATCH(A552,cnpj!$A:$A,0))="","",INDEX(cnpj!$B:$B,MATCH(A552,cnpj!$A:$A,0))),"")</f>
        <v>12.559.748/0001-08</v>
      </c>
      <c r="C552" s="5" t="str">
        <f aca="false">IF(B552="","",RIGHT("00000000000000"&amp;SUBSTITUTE(SUBSTITUTE(SUBSTITUTE(SUBSTITUTE(B552,".",""),"/",""),"-","")," ",""),14))</f>
        <v>12559748000108</v>
      </c>
      <c r="D552" s="5" t="str">
        <f aca="false">IF(C552="","",MID(C552,1,2)&amp;"."&amp;MID(C552,3,3)&amp;"."&amp;MID(C552,6,3)&amp;"/"&amp;MID(C552,9,4)&amp;"-"&amp;MID(C552,13,2))</f>
        <v>12.559.748/0001-08</v>
      </c>
      <c r="E552" s="4" t="str">
        <f aca="false">IF(ISNA(MATCH(A552,cnpj!$A:$A,0)),"Lotação não existe na aba cnpj",IF(B552="","Sem CNPJ na aba cnpj","OK"))</f>
        <v>OK</v>
      </c>
    </row>
    <row r="553" customFormat="false" ht="15" hidden="false" customHeight="false" outlineLevel="0" collapsed="false">
      <c r="A553" s="4" t="n">
        <f aca="false">sisgi!A553</f>
        <v>158623</v>
      </c>
      <c r="B553" s="5" t="str">
        <f aca="false">IFERROR(IF(INDEX(cnpj!$B:$B,MATCH(A553,cnpj!$A:$A,0))="","",INDEX(cnpj!$B:$B,MATCH(A553,cnpj!$A:$A,0))),"")</f>
        <v>11.886.485/0001-89</v>
      </c>
      <c r="C553" s="5" t="str">
        <f aca="false">IF(B553="","",RIGHT("00000000000000"&amp;SUBSTITUTE(SUBSTITUTE(SUBSTITUTE(SUBSTITUTE(B553,".",""),"/",""),"-","")," ",""),14))</f>
        <v>11886485000189</v>
      </c>
      <c r="D553" s="5" t="str">
        <f aca="false">IF(C553="","",MID(C553,1,2)&amp;"."&amp;MID(C553,3,3)&amp;"."&amp;MID(C553,6,3)&amp;"/"&amp;MID(C553,9,4)&amp;"-"&amp;MID(C553,13,2))</f>
        <v>11.886.485/0001-89</v>
      </c>
      <c r="E553" s="4" t="str">
        <f aca="false">IF(ISNA(MATCH(A553,cnpj!$A:$A,0)),"Lotação não existe na aba cnpj",IF(B553="","Sem CNPJ na aba cnpj","OK"))</f>
        <v>OK</v>
      </c>
    </row>
    <row r="554" customFormat="false" ht="15" hidden="false" customHeight="false" outlineLevel="0" collapsed="false">
      <c r="A554" s="4" t="n">
        <f aca="false">sisgi!A554</f>
        <v>158658</v>
      </c>
      <c r="B554" s="5" t="str">
        <f aca="false">IFERROR(IF(INDEX(cnpj!$B:$B,MATCH(A554,cnpj!$A:$A,0))="","",INDEX(cnpj!$B:$B,MATCH(A554,cnpj!$A:$A,0))),"")</f>
        <v>11.876.401/0001-26</v>
      </c>
      <c r="C554" s="5" t="str">
        <f aca="false">IF(B554="","",RIGHT("00000000000000"&amp;SUBSTITUTE(SUBSTITUTE(SUBSTITUTE(SUBSTITUTE(B554,".",""),"/",""),"-","")," ",""),14))</f>
        <v>11876401000126</v>
      </c>
      <c r="D554" s="5" t="str">
        <f aca="false">IF(C554="","",MID(C554,1,2)&amp;"."&amp;MID(C554,3,3)&amp;"."&amp;MID(C554,6,3)&amp;"/"&amp;MID(C554,9,4)&amp;"-"&amp;MID(C554,13,2))</f>
        <v>11.876.401/0001-26</v>
      </c>
      <c r="E554" s="4" t="str">
        <f aca="false">IF(ISNA(MATCH(A554,cnpj!$A:$A,0)),"Lotação não existe na aba cnpj",IF(B554="","Sem CNPJ na aba cnpj","OK"))</f>
        <v>OK</v>
      </c>
    </row>
    <row r="555" customFormat="false" ht="15" hidden="false" customHeight="false" outlineLevel="0" collapsed="false">
      <c r="A555" s="4" t="n">
        <f aca="false">sisgi!A555</f>
        <v>158810</v>
      </c>
      <c r="B555" s="5" t="str">
        <f aca="false">IFERROR(IF(INDEX(cnpj!$B:$B,MATCH(A555,cnpj!$A:$A,0))="","",INDEX(cnpj!$B:$B,MATCH(A555,cnpj!$A:$A,0))),"")</f>
        <v>12.452.855/0001-32</v>
      </c>
      <c r="C555" s="5" t="str">
        <f aca="false">IF(B555="","",RIGHT("00000000000000"&amp;SUBSTITUTE(SUBSTITUTE(SUBSTITUTE(SUBSTITUTE(B555,".",""),"/",""),"-","")," ",""),14))</f>
        <v>12452855000132</v>
      </c>
      <c r="D555" s="5" t="str">
        <f aca="false">IF(C555="","",MID(C555,1,2)&amp;"."&amp;MID(C555,3,3)&amp;"."&amp;MID(C555,6,3)&amp;"/"&amp;MID(C555,9,4)&amp;"-"&amp;MID(C555,13,2))</f>
        <v>12.452.855/0001-32</v>
      </c>
      <c r="E555" s="4" t="str">
        <f aca="false">IF(ISNA(MATCH(A555,cnpj!$A:$A,0)),"Lotação não existe na aba cnpj",IF(B555="","Sem CNPJ na aba cnpj","OK"))</f>
        <v>OK</v>
      </c>
    </row>
    <row r="556" customFormat="false" ht="15" hidden="false" customHeight="false" outlineLevel="0" collapsed="false">
      <c r="A556" s="4" t="n">
        <f aca="false">sisgi!A556</f>
        <v>158828</v>
      </c>
      <c r="B556" s="5" t="str">
        <f aca="false">IFERROR(IF(INDEX(cnpj!$B:$B,MATCH(A556,cnpj!$A:$A,0))="","",INDEX(cnpj!$B:$B,MATCH(A556,cnpj!$A:$A,0))),"")</f>
        <v>12.253.815/0001-61</v>
      </c>
      <c r="C556" s="5" t="str">
        <f aca="false">IF(B556="","",RIGHT("00000000000000"&amp;SUBSTITUTE(SUBSTITUTE(SUBSTITUTE(SUBSTITUTE(B556,".",""),"/",""),"-","")," ",""),14))</f>
        <v>12253815000161</v>
      </c>
      <c r="D556" s="5" t="str">
        <f aca="false">IF(C556="","",MID(C556,1,2)&amp;"."&amp;MID(C556,3,3)&amp;"."&amp;MID(C556,6,3)&amp;"/"&amp;MID(C556,9,4)&amp;"-"&amp;MID(C556,13,2))</f>
        <v>12.253.815/0001-61</v>
      </c>
      <c r="E556" s="4" t="str">
        <f aca="false">IF(ISNA(MATCH(A556,cnpj!$A:$A,0)),"Lotação não existe na aba cnpj",IF(B556="","Sem CNPJ na aba cnpj","OK"))</f>
        <v>OK</v>
      </c>
    </row>
    <row r="557" customFormat="false" ht="15" hidden="false" customHeight="false" outlineLevel="0" collapsed="false">
      <c r="A557" s="4" t="n">
        <f aca="false">sisgi!A557</f>
        <v>158836</v>
      </c>
      <c r="B557" s="5" t="str">
        <f aca="false">IFERROR(IF(INDEX(cnpj!$B:$B,MATCH(A557,cnpj!$A:$A,0))="","",INDEX(cnpj!$B:$B,MATCH(A557,cnpj!$A:$A,0))),"")</f>
        <v>12.127.975/0001-64</v>
      </c>
      <c r="C557" s="5" t="str">
        <f aca="false">IF(B557="","",RIGHT("00000000000000"&amp;SUBSTITUTE(SUBSTITUTE(SUBSTITUTE(SUBSTITUTE(B557,".",""),"/",""),"-","")," ",""),14))</f>
        <v>12127975000164</v>
      </c>
      <c r="D557" s="5" t="str">
        <f aca="false">IF(C557="","",MID(C557,1,2)&amp;"."&amp;MID(C557,3,3)&amp;"."&amp;MID(C557,6,3)&amp;"/"&amp;MID(C557,9,4)&amp;"-"&amp;MID(C557,13,2))</f>
        <v>12.127.975/0001-64</v>
      </c>
      <c r="E557" s="4" t="str">
        <f aca="false">IF(ISNA(MATCH(A557,cnpj!$A:$A,0)),"Lotação não existe na aba cnpj",IF(B557="","Sem CNPJ na aba cnpj","OK"))</f>
        <v>OK</v>
      </c>
    </row>
    <row r="558" customFormat="false" ht="15" hidden="false" customHeight="false" outlineLevel="0" collapsed="false">
      <c r="A558" s="4" t="n">
        <f aca="false">sisgi!A558</f>
        <v>158844</v>
      </c>
      <c r="B558" s="5" t="str">
        <f aca="false">IFERROR(IF(INDEX(cnpj!$B:$B,MATCH(A558,cnpj!$A:$A,0))="","",INDEX(cnpj!$B:$B,MATCH(A558,cnpj!$A:$A,0))),"")</f>
        <v>12.096.148/0001-50</v>
      </c>
      <c r="C558" s="5" t="str">
        <f aca="false">IF(B558="","",RIGHT("00000000000000"&amp;SUBSTITUTE(SUBSTITUTE(SUBSTITUTE(SUBSTITUTE(B558,".",""),"/",""),"-","")," ",""),14))</f>
        <v>12096148000150</v>
      </c>
      <c r="D558" s="5" t="str">
        <f aca="false">IF(C558="","",MID(C558,1,2)&amp;"."&amp;MID(C558,3,3)&amp;"."&amp;MID(C558,6,3)&amp;"/"&amp;MID(C558,9,4)&amp;"-"&amp;MID(C558,13,2))</f>
        <v>12.096.148/0001-50</v>
      </c>
      <c r="E558" s="4" t="str">
        <f aca="false">IF(ISNA(MATCH(A558,cnpj!$A:$A,0)),"Lotação não existe na aba cnpj",IF(B558="","Sem CNPJ na aba cnpj","OK"))</f>
        <v>OK</v>
      </c>
    </row>
    <row r="559" customFormat="false" ht="15" hidden="false" customHeight="false" outlineLevel="0" collapsed="false">
      <c r="A559" s="4" t="n">
        <f aca="false">sisgi!A559</f>
        <v>159697</v>
      </c>
      <c r="B559" s="5" t="str">
        <f aca="false">IFERROR(IF(INDEX(cnpj!$B:$B,MATCH(A559,cnpj!$A:$A,0))="","",INDEX(cnpj!$B:$B,MATCH(A559,cnpj!$A:$A,0))),"")</f>
        <v>12.036.999/0001-08</v>
      </c>
      <c r="C559" s="5" t="str">
        <f aca="false">IF(B559="","",RIGHT("00000000000000"&amp;SUBSTITUTE(SUBSTITUTE(SUBSTITUTE(SUBSTITUTE(B559,".",""),"/",""),"-","")," ",""),14))</f>
        <v>12036999000108</v>
      </c>
      <c r="D559" s="5" t="str">
        <f aca="false">IF(C559="","",MID(C559,1,2)&amp;"."&amp;MID(C559,3,3)&amp;"."&amp;MID(C559,6,3)&amp;"/"&amp;MID(C559,9,4)&amp;"-"&amp;MID(C559,13,2))</f>
        <v>12.036.999/0001-08</v>
      </c>
      <c r="E559" s="4" t="str">
        <f aca="false">IF(ISNA(MATCH(A559,cnpj!$A:$A,0)),"Lotação não existe na aba cnpj",IF(B559="","Sem CNPJ na aba cnpj","OK"))</f>
        <v>OK</v>
      </c>
    </row>
    <row r="560" customFormat="false" ht="15" hidden="false" customHeight="false" outlineLevel="0" collapsed="false">
      <c r="A560" s="4" t="n">
        <f aca="false">sisgi!A560</f>
        <v>159700</v>
      </c>
      <c r="B560" s="5" t="str">
        <f aca="false">IFERROR(IF(INDEX(cnpj!$B:$B,MATCH(A560,cnpj!$A:$A,0))="","",INDEX(cnpj!$B:$B,MATCH(A560,cnpj!$A:$A,0))),"")</f>
        <v>12.403.864/0001-33</v>
      </c>
      <c r="C560" s="5" t="str">
        <f aca="false">IF(B560="","",RIGHT("00000000000000"&amp;SUBSTITUTE(SUBSTITUTE(SUBSTITUTE(SUBSTITUTE(B560,".",""),"/",""),"-","")," ",""),14))</f>
        <v>12403864000133</v>
      </c>
      <c r="D560" s="5" t="str">
        <f aca="false">IF(C560="","",MID(C560,1,2)&amp;"."&amp;MID(C560,3,3)&amp;"."&amp;MID(C560,6,3)&amp;"/"&amp;MID(C560,9,4)&amp;"-"&amp;MID(C560,13,2))</f>
        <v>12.403.864/0001-33</v>
      </c>
      <c r="E560" s="4" t="str">
        <f aca="false">IF(ISNA(MATCH(A560,cnpj!$A:$A,0)),"Lotação não existe na aba cnpj",IF(B560="","Sem CNPJ na aba cnpj","OK"))</f>
        <v>OK</v>
      </c>
    </row>
    <row r="561" customFormat="false" ht="15" hidden="false" customHeight="false" outlineLevel="0" collapsed="false">
      <c r="A561" s="4" t="n">
        <f aca="false">sisgi!A561</f>
        <v>160040</v>
      </c>
      <c r="B561" s="5" t="str">
        <f aca="false">IFERROR(IF(INDEX(cnpj!$B:$B,MATCH(A561,cnpj!$A:$A,0))="","",INDEX(cnpj!$B:$B,MATCH(A561,cnpj!$A:$A,0))),"")</f>
        <v>13.408.343/0001-31</v>
      </c>
      <c r="C561" s="5" t="str">
        <f aca="false">IF(B561="","",RIGHT("00000000000000"&amp;SUBSTITUTE(SUBSTITUTE(SUBSTITUTE(SUBSTITUTE(B561,".",""),"/",""),"-","")," ",""),14))</f>
        <v>13408343000131</v>
      </c>
      <c r="D561" s="5" t="str">
        <f aca="false">IF(C561="","",MID(C561,1,2)&amp;"."&amp;MID(C561,3,3)&amp;"."&amp;MID(C561,6,3)&amp;"/"&amp;MID(C561,9,4)&amp;"-"&amp;MID(C561,13,2))</f>
        <v>13.408.343/0001-31</v>
      </c>
      <c r="E561" s="4" t="str">
        <f aca="false">IF(ISNA(MATCH(A561,cnpj!$A:$A,0)),"Lotação não existe na aba cnpj",IF(B561="","Sem CNPJ na aba cnpj","OK"))</f>
        <v>OK</v>
      </c>
    </row>
    <row r="562" customFormat="false" ht="15" hidden="false" customHeight="false" outlineLevel="0" collapsed="false">
      <c r="A562" s="4" t="n">
        <f aca="false">sisgi!A562</f>
        <v>163554</v>
      </c>
      <c r="B562" s="5" t="str">
        <f aca="false">IFERROR(IF(INDEX(cnpj!$B:$B,MATCH(A562,cnpj!$A:$A,0))="","",INDEX(cnpj!$B:$B,MATCH(A562,cnpj!$A:$A,0))),"")</f>
        <v>13.856.585/0001-98</v>
      </c>
      <c r="C562" s="5" t="str">
        <f aca="false">IF(B562="","",RIGHT("00000000000000"&amp;SUBSTITUTE(SUBSTITUTE(SUBSTITUTE(SUBSTITUTE(B562,".",""),"/",""),"-","")," ",""),14))</f>
        <v>13856585000198</v>
      </c>
      <c r="D562" s="5" t="str">
        <f aca="false">IF(C562="","",MID(C562,1,2)&amp;"."&amp;MID(C562,3,3)&amp;"."&amp;MID(C562,6,3)&amp;"/"&amp;MID(C562,9,4)&amp;"-"&amp;MID(C562,13,2))</f>
        <v>13.856.585/0001-98</v>
      </c>
      <c r="E562" s="4" t="str">
        <f aca="false">IF(ISNA(MATCH(A562,cnpj!$A:$A,0)),"Lotação não existe na aba cnpj",IF(B562="","Sem CNPJ na aba cnpj","OK"))</f>
        <v>OK</v>
      </c>
    </row>
    <row r="563" customFormat="false" ht="15" hidden="false" customHeight="false" outlineLevel="0" collapsed="false">
      <c r="A563" s="4" t="n">
        <f aca="false">sisgi!A563</f>
        <v>163643</v>
      </c>
      <c r="B563" s="5" t="str">
        <f aca="false">IFERROR(IF(INDEX(cnpj!$B:$B,MATCH(A563,cnpj!$A:$A,0))="","",INDEX(cnpj!$B:$B,MATCH(A563,cnpj!$A:$A,0))),"")</f>
        <v>13.774.730/0001-91</v>
      </c>
      <c r="C563" s="5" t="str">
        <f aca="false">IF(B563="","",RIGHT("00000000000000"&amp;SUBSTITUTE(SUBSTITUTE(SUBSTITUTE(SUBSTITUTE(B563,".",""),"/",""),"-","")," ",""),14))</f>
        <v>13774730000191</v>
      </c>
      <c r="D563" s="5" t="str">
        <f aca="false">IF(C563="","",MID(C563,1,2)&amp;"."&amp;MID(C563,3,3)&amp;"."&amp;MID(C563,6,3)&amp;"/"&amp;MID(C563,9,4)&amp;"-"&amp;MID(C563,13,2))</f>
        <v>13.774.730/0001-91</v>
      </c>
      <c r="E563" s="4" t="str">
        <f aca="false">IF(ISNA(MATCH(A563,cnpj!$A:$A,0)),"Lotação não existe na aba cnpj",IF(B563="","Sem CNPJ na aba cnpj","OK"))</f>
        <v>OK</v>
      </c>
    </row>
    <row r="564" customFormat="false" ht="15" hidden="false" customHeight="false" outlineLevel="0" collapsed="false">
      <c r="A564" s="4" t="n">
        <f aca="false">sisgi!A564</f>
        <v>163651</v>
      </c>
      <c r="B564" s="5" t="str">
        <f aca="false">IFERROR(IF(INDEX(cnpj!$B:$B,MATCH(A564,cnpj!$A:$A,0))="","",INDEX(cnpj!$B:$B,MATCH(A564,cnpj!$A:$A,0))),"")</f>
        <v>13.652.886/0001-08</v>
      </c>
      <c r="C564" s="5" t="str">
        <f aca="false">IF(B564="","",RIGHT("00000000000000"&amp;SUBSTITUTE(SUBSTITUTE(SUBSTITUTE(SUBSTITUTE(B564,".",""),"/",""),"-","")," ",""),14))</f>
        <v>13652886000108</v>
      </c>
      <c r="D564" s="5" t="str">
        <f aca="false">IF(C564="","",MID(C564,1,2)&amp;"."&amp;MID(C564,3,3)&amp;"."&amp;MID(C564,6,3)&amp;"/"&amp;MID(C564,9,4)&amp;"-"&amp;MID(C564,13,2))</f>
        <v>13.652.886/0001-08</v>
      </c>
      <c r="E564" s="4" t="str">
        <f aca="false">IF(ISNA(MATCH(A564,cnpj!$A:$A,0)),"Lotação não existe na aba cnpj",IF(B564="","Sem CNPJ na aba cnpj","OK"))</f>
        <v>OK</v>
      </c>
    </row>
    <row r="565" customFormat="false" ht="15" hidden="false" customHeight="false" outlineLevel="0" collapsed="false">
      <c r="A565" s="4" t="n">
        <f aca="false">sisgi!A565</f>
        <v>163660</v>
      </c>
      <c r="B565" s="5" t="str">
        <f aca="false">IFERROR(IF(INDEX(cnpj!$B:$B,MATCH(A565,cnpj!$A:$A,0))="","",INDEX(cnpj!$B:$B,MATCH(A565,cnpj!$A:$A,0))),"")</f>
        <v>13.691.408/0001-07</v>
      </c>
      <c r="C565" s="5" t="str">
        <f aca="false">IF(B565="","",RIGHT("00000000000000"&amp;SUBSTITUTE(SUBSTITUTE(SUBSTITUTE(SUBSTITUTE(B565,".",""),"/",""),"-","")," ",""),14))</f>
        <v>13691408000107</v>
      </c>
      <c r="D565" s="5" t="str">
        <f aca="false">IF(C565="","",MID(C565,1,2)&amp;"."&amp;MID(C565,3,3)&amp;"."&amp;MID(C565,6,3)&amp;"/"&amp;MID(C565,9,4)&amp;"-"&amp;MID(C565,13,2))</f>
        <v>13.691.408/0001-07</v>
      </c>
      <c r="E565" s="4" t="str">
        <f aca="false">IF(ISNA(MATCH(A565,cnpj!$A:$A,0)),"Lotação não existe na aba cnpj",IF(B565="","Sem CNPJ na aba cnpj","OK"))</f>
        <v>OK</v>
      </c>
    </row>
    <row r="566" customFormat="false" ht="15" hidden="false" customHeight="false" outlineLevel="0" collapsed="false">
      <c r="A566" s="4" t="n">
        <f aca="false">sisgi!A566</f>
        <v>163678</v>
      </c>
      <c r="B566" s="5" t="str">
        <f aca="false">IFERROR(IF(INDEX(cnpj!$B:$B,MATCH(A566,cnpj!$A:$A,0))="","",INDEX(cnpj!$B:$B,MATCH(A566,cnpj!$A:$A,0))),"")</f>
        <v>13.580.332/0001-34</v>
      </c>
      <c r="C566" s="5" t="str">
        <f aca="false">IF(B566="","",RIGHT("00000000000000"&amp;SUBSTITUTE(SUBSTITUTE(SUBSTITUTE(SUBSTITUTE(B566,".",""),"/",""),"-","")," ",""),14))</f>
        <v>13580332000134</v>
      </c>
      <c r="D566" s="5" t="str">
        <f aca="false">IF(C566="","",MID(C566,1,2)&amp;"."&amp;MID(C566,3,3)&amp;"."&amp;MID(C566,6,3)&amp;"/"&amp;MID(C566,9,4)&amp;"-"&amp;MID(C566,13,2))</f>
        <v>13.580.332/0001-34</v>
      </c>
      <c r="E566" s="4" t="str">
        <f aca="false">IF(ISNA(MATCH(A566,cnpj!$A:$A,0)),"Lotação não existe na aba cnpj",IF(B566="","Sem CNPJ na aba cnpj","OK"))</f>
        <v>OK</v>
      </c>
    </row>
    <row r="567" customFormat="false" ht="15" hidden="false" customHeight="false" outlineLevel="0" collapsed="false">
      <c r="A567" s="4" t="n">
        <f aca="false">sisgi!A567</f>
        <v>166294</v>
      </c>
      <c r="B567" s="5" t="str">
        <f aca="false">IFERROR(IF(INDEX(cnpj!$B:$B,MATCH(A567,cnpj!$A:$A,0))="","",INDEX(cnpj!$B:$B,MATCH(A567,cnpj!$A:$A,0))),"")</f>
        <v>13.657.353/0001-00</v>
      </c>
      <c r="C567" s="5" t="str">
        <f aca="false">IF(B567="","",RIGHT("00000000000000"&amp;SUBSTITUTE(SUBSTITUTE(SUBSTITUTE(SUBSTITUTE(B567,".",""),"/",""),"-","")," ",""),14))</f>
        <v>13657353000100</v>
      </c>
      <c r="D567" s="5" t="str">
        <f aca="false">IF(C567="","",MID(C567,1,2)&amp;"."&amp;MID(C567,3,3)&amp;"."&amp;MID(C567,6,3)&amp;"/"&amp;MID(C567,9,4)&amp;"-"&amp;MID(C567,13,2))</f>
        <v>13.657.353/0001-00</v>
      </c>
      <c r="E567" s="4" t="str">
        <f aca="false">IF(ISNA(MATCH(A567,cnpj!$A:$A,0)),"Lotação não existe na aba cnpj",IF(B567="","Sem CNPJ na aba cnpj","OK"))</f>
        <v>OK</v>
      </c>
    </row>
    <row r="568" customFormat="false" ht="15" hidden="false" customHeight="false" outlineLevel="0" collapsed="false">
      <c r="A568" s="4" t="n">
        <f aca="false">sisgi!A568</f>
        <v>166308</v>
      </c>
      <c r="B568" s="5" t="str">
        <f aca="false">IFERROR(IF(INDEX(cnpj!$B:$B,MATCH(A568,cnpj!$A:$A,0))="","",INDEX(cnpj!$B:$B,MATCH(A568,cnpj!$A:$A,0))),"")</f>
        <v>05.591.815/0001-06</v>
      </c>
      <c r="C568" s="5" t="str">
        <f aca="false">IF(B568="","",RIGHT("00000000000000"&amp;SUBSTITUTE(SUBSTITUTE(SUBSTITUTE(SUBSTITUTE(B568,".",""),"/",""),"-","")," ",""),14))</f>
        <v>05591815000106</v>
      </c>
      <c r="D568" s="5" t="str">
        <f aca="false">IF(C568="","",MID(C568,1,2)&amp;"."&amp;MID(C568,3,3)&amp;"."&amp;MID(C568,6,3)&amp;"/"&amp;MID(C568,9,4)&amp;"-"&amp;MID(C568,13,2))</f>
        <v>05.591.815/0001-06</v>
      </c>
      <c r="E568" s="4" t="str">
        <f aca="false">IF(ISNA(MATCH(A568,cnpj!$A:$A,0)),"Lotação não existe na aba cnpj",IF(B568="","Sem CNPJ na aba cnpj","OK"))</f>
        <v>OK</v>
      </c>
    </row>
    <row r="569" customFormat="false" ht="15" hidden="false" customHeight="false" outlineLevel="0" collapsed="false">
      <c r="A569" s="4" t="n">
        <f aca="false">sisgi!A569</f>
        <v>172081</v>
      </c>
      <c r="B569" s="5" t="str">
        <f aca="false">IFERROR(IF(INDEX(cnpj!$B:$B,MATCH(A569,cnpj!$A:$A,0))="","",INDEX(cnpj!$B:$B,MATCH(A569,cnpj!$A:$A,0))),"")</f>
        <v>14.387.998/0001-33</v>
      </c>
      <c r="C569" s="5" t="str">
        <f aca="false">IF(B569="","",RIGHT("00000000000000"&amp;SUBSTITUTE(SUBSTITUTE(SUBSTITUTE(SUBSTITUTE(B569,".",""),"/",""),"-","")," ",""),14))</f>
        <v>14387998000133</v>
      </c>
      <c r="D569" s="5" t="str">
        <f aca="false">IF(C569="","",MID(C569,1,2)&amp;"."&amp;MID(C569,3,3)&amp;"."&amp;MID(C569,6,3)&amp;"/"&amp;MID(C569,9,4)&amp;"-"&amp;MID(C569,13,2))</f>
        <v>14.387.998/0001-33</v>
      </c>
      <c r="E569" s="4" t="str">
        <f aca="false">IF(ISNA(MATCH(A569,cnpj!$A:$A,0)),"Lotação não existe na aba cnpj",IF(B569="","Sem CNPJ na aba cnpj","OK"))</f>
        <v>OK</v>
      </c>
    </row>
    <row r="570" customFormat="false" ht="15" hidden="false" customHeight="false" outlineLevel="0" collapsed="false">
      <c r="A570" s="4" t="n">
        <f aca="false">sisgi!A570</f>
        <v>172456</v>
      </c>
      <c r="B570" s="5" t="str">
        <f aca="false">IFERROR(IF(INDEX(cnpj!$B:$B,MATCH(A570,cnpj!$A:$A,0))="","",INDEX(cnpj!$B:$B,MATCH(A570,cnpj!$A:$A,0))),"")</f>
        <v>14.939.051/0001-98</v>
      </c>
      <c r="C570" s="5" t="str">
        <f aca="false">IF(B570="","",RIGHT("00000000000000"&amp;SUBSTITUTE(SUBSTITUTE(SUBSTITUTE(SUBSTITUTE(B570,".",""),"/",""),"-","")," ",""),14))</f>
        <v>14939051000198</v>
      </c>
      <c r="D570" s="5" t="str">
        <f aca="false">IF(C570="","",MID(C570,1,2)&amp;"."&amp;MID(C570,3,3)&amp;"."&amp;MID(C570,6,3)&amp;"/"&amp;MID(C570,9,4)&amp;"-"&amp;MID(C570,13,2))</f>
        <v>14.939.051/0001-98</v>
      </c>
      <c r="E570" s="4" t="str">
        <f aca="false">IF(ISNA(MATCH(A570,cnpj!$A:$A,0)),"Lotação não existe na aba cnpj",IF(B570="","Sem CNPJ na aba cnpj","OK"))</f>
        <v>OK</v>
      </c>
    </row>
    <row r="571" customFormat="false" ht="15" hidden="false" customHeight="false" outlineLevel="0" collapsed="false">
      <c r="A571" s="4" t="n">
        <f aca="false">sisgi!A571</f>
        <v>172642</v>
      </c>
      <c r="B571" s="5" t="str">
        <f aca="false">IFERROR(IF(INDEX(cnpj!$B:$B,MATCH(A571,cnpj!$A:$A,0))="","",INDEX(cnpj!$B:$B,MATCH(A571,cnpj!$A:$A,0))),"")</f>
        <v>15.320.417/0001-09</v>
      </c>
      <c r="C571" s="5" t="str">
        <f aca="false">IF(B571="","",RIGHT("00000000000000"&amp;SUBSTITUTE(SUBSTITUTE(SUBSTITUTE(SUBSTITUTE(B571,".",""),"/",""),"-","")," ",""),14))</f>
        <v>15320417000109</v>
      </c>
      <c r="D571" s="5" t="str">
        <f aca="false">IF(C571="","",MID(C571,1,2)&amp;"."&amp;MID(C571,3,3)&amp;"."&amp;MID(C571,6,3)&amp;"/"&amp;MID(C571,9,4)&amp;"-"&amp;MID(C571,13,2))</f>
        <v>15.320.417/0001-09</v>
      </c>
      <c r="E571" s="4" t="str">
        <f aca="false">IF(ISNA(MATCH(A571,cnpj!$A:$A,0)),"Lotação não existe na aba cnpj",IF(B571="","Sem CNPJ na aba cnpj","OK"))</f>
        <v>OK</v>
      </c>
    </row>
    <row r="572" customFormat="false" ht="15" hidden="false" customHeight="false" outlineLevel="0" collapsed="false">
      <c r="A572" s="4" t="n">
        <f aca="false">sisgi!A572</f>
        <v>173282</v>
      </c>
      <c r="B572" s="5" t="str">
        <f aca="false">IFERROR(IF(INDEX(cnpj!$B:$B,MATCH(A572,cnpj!$A:$A,0))="","",INDEX(cnpj!$B:$B,MATCH(A572,cnpj!$A:$A,0))),"")</f>
        <v>18.022.027/0001-40</v>
      </c>
      <c r="C572" s="5" t="str">
        <f aca="false">IF(B572="","",RIGHT("00000000000000"&amp;SUBSTITUTE(SUBSTITUTE(SUBSTITUTE(SUBSTITUTE(B572,".",""),"/",""),"-","")," ",""),14))</f>
        <v>18022027000140</v>
      </c>
      <c r="D572" s="5" t="str">
        <f aca="false">IF(C572="","",MID(C572,1,2)&amp;"."&amp;MID(C572,3,3)&amp;"."&amp;MID(C572,6,3)&amp;"/"&amp;MID(C572,9,4)&amp;"-"&amp;MID(C572,13,2))</f>
        <v>18.022.027/0001-40</v>
      </c>
      <c r="E572" s="4" t="str">
        <f aca="false">IF(ISNA(MATCH(A572,cnpj!$A:$A,0)),"Lotação não existe na aba cnpj",IF(B572="","Sem CNPJ na aba cnpj","OK"))</f>
        <v>OK</v>
      </c>
    </row>
    <row r="573" customFormat="false" ht="15" hidden="false" customHeight="false" outlineLevel="0" collapsed="false">
      <c r="A573" s="4" t="n">
        <f aca="false">sisgi!A573</f>
        <v>173347</v>
      </c>
      <c r="B573" s="5" t="str">
        <f aca="false">IFERROR(IF(INDEX(cnpj!$B:$B,MATCH(A573,cnpj!$A:$A,0))="","",INDEX(cnpj!$B:$B,MATCH(A573,cnpj!$A:$A,0))),"")</f>
        <v>15.686.093/0001-27</v>
      </c>
      <c r="C573" s="5" t="str">
        <f aca="false">IF(B573="","",RIGHT("00000000000000"&amp;SUBSTITUTE(SUBSTITUTE(SUBSTITUTE(SUBSTITUTE(B573,".",""),"/",""),"-","")," ",""),14))</f>
        <v>15686093000127</v>
      </c>
      <c r="D573" s="5" t="str">
        <f aca="false">IF(C573="","",MID(C573,1,2)&amp;"."&amp;MID(C573,3,3)&amp;"."&amp;MID(C573,6,3)&amp;"/"&amp;MID(C573,9,4)&amp;"-"&amp;MID(C573,13,2))</f>
        <v>15.686.093/0001-27</v>
      </c>
      <c r="E573" s="4" t="str">
        <f aca="false">IF(ISNA(MATCH(A573,cnpj!$A:$A,0)),"Lotação não existe na aba cnpj",IF(B573="","Sem CNPJ na aba cnpj","OK"))</f>
        <v>OK</v>
      </c>
    </row>
    <row r="574" customFormat="false" ht="15" hidden="false" customHeight="false" outlineLevel="0" collapsed="false">
      <c r="A574" s="4" t="n">
        <f aca="false">sisgi!A574</f>
        <v>173355</v>
      </c>
      <c r="B574" s="5" t="str">
        <f aca="false">IFERROR(IF(INDEX(cnpj!$B:$B,MATCH(A574,cnpj!$A:$A,0))="","",INDEX(cnpj!$B:$B,MATCH(A574,cnpj!$A:$A,0))),"")</f>
        <v>15.242.334/0001-49</v>
      </c>
      <c r="C574" s="5" t="str">
        <f aca="false">IF(B574="","",RIGHT("00000000000000"&amp;SUBSTITUTE(SUBSTITUTE(SUBSTITUTE(SUBSTITUTE(B574,".",""),"/",""),"-","")," ",""),14))</f>
        <v>15242334000149</v>
      </c>
      <c r="D574" s="5" t="str">
        <f aca="false">IF(C574="","",MID(C574,1,2)&amp;"."&amp;MID(C574,3,3)&amp;"."&amp;MID(C574,6,3)&amp;"/"&amp;MID(C574,9,4)&amp;"-"&amp;MID(C574,13,2))</f>
        <v>15.242.334/0001-49</v>
      </c>
      <c r="E574" s="4" t="str">
        <f aca="false">IF(ISNA(MATCH(A574,cnpj!$A:$A,0)),"Lotação não existe na aba cnpj",IF(B574="","Sem CNPJ na aba cnpj","OK"))</f>
        <v>OK</v>
      </c>
    </row>
    <row r="575" customFormat="false" ht="15" hidden="false" customHeight="false" outlineLevel="0" collapsed="false">
      <c r="A575" s="4" t="n">
        <f aca="false">sisgi!A575</f>
        <v>173363</v>
      </c>
      <c r="B575" s="5" t="str">
        <f aca="false">IFERROR(IF(INDEX(cnpj!$B:$B,MATCH(A575,cnpj!$A:$A,0))="","",INDEX(cnpj!$B:$B,MATCH(A575,cnpj!$A:$A,0))),"")</f>
        <v>17.847.117/0001-08</v>
      </c>
      <c r="C575" s="5" t="str">
        <f aca="false">IF(B575="","",RIGHT("00000000000000"&amp;SUBSTITUTE(SUBSTITUTE(SUBSTITUTE(SUBSTITUTE(B575,".",""),"/",""),"-","")," ",""),14))</f>
        <v>17847117000108</v>
      </c>
      <c r="D575" s="5" t="str">
        <f aca="false">IF(C575="","",MID(C575,1,2)&amp;"."&amp;MID(C575,3,3)&amp;"."&amp;MID(C575,6,3)&amp;"/"&amp;MID(C575,9,4)&amp;"-"&amp;MID(C575,13,2))</f>
        <v>17.847.117/0001-08</v>
      </c>
      <c r="E575" s="4" t="str">
        <f aca="false">IF(ISNA(MATCH(A575,cnpj!$A:$A,0)),"Lotação não existe na aba cnpj",IF(B575="","Sem CNPJ na aba cnpj","OK"))</f>
        <v>OK</v>
      </c>
    </row>
    <row r="576" customFormat="false" ht="15" hidden="false" customHeight="false" outlineLevel="0" collapsed="false">
      <c r="A576" s="4" t="n">
        <f aca="false">sisgi!A576</f>
        <v>173371</v>
      </c>
      <c r="B576" s="5" t="str">
        <f aca="false">IFERROR(IF(INDEX(cnpj!$B:$B,MATCH(A576,cnpj!$A:$A,0))="","",INDEX(cnpj!$B:$B,MATCH(A576,cnpj!$A:$A,0))),"")</f>
        <v>16.884.406/0001-14</v>
      </c>
      <c r="C576" s="5" t="str">
        <f aca="false">IF(B576="","",RIGHT("00000000000000"&amp;SUBSTITUTE(SUBSTITUTE(SUBSTITUTE(SUBSTITUTE(B576,".",""),"/",""),"-","")," ",""),14))</f>
        <v>16884406000114</v>
      </c>
      <c r="D576" s="5" t="str">
        <f aca="false">IF(C576="","",MID(C576,1,2)&amp;"."&amp;MID(C576,3,3)&amp;"."&amp;MID(C576,6,3)&amp;"/"&amp;MID(C576,9,4)&amp;"-"&amp;MID(C576,13,2))</f>
        <v>16.884.406/0001-14</v>
      </c>
      <c r="E576" s="4" t="str">
        <f aca="false">IF(ISNA(MATCH(A576,cnpj!$A:$A,0)),"Lotação não existe na aba cnpj",IF(B576="","Sem CNPJ na aba cnpj","OK"))</f>
        <v>OK</v>
      </c>
    </row>
    <row r="577" customFormat="false" ht="15" hidden="false" customHeight="false" outlineLevel="0" collapsed="false">
      <c r="A577" s="4" t="n">
        <f aca="false">sisgi!A577</f>
        <v>173509</v>
      </c>
      <c r="B577" s="5" t="str">
        <f aca="false">IFERROR(IF(INDEX(cnpj!$B:$B,MATCH(A577,cnpj!$A:$A,0))="","",INDEX(cnpj!$B:$B,MATCH(A577,cnpj!$A:$A,0))),"")</f>
        <v>02.099.246/0001-98</v>
      </c>
      <c r="C577" s="5" t="str">
        <f aca="false">IF(B577="","",RIGHT("00000000000000"&amp;SUBSTITUTE(SUBSTITUTE(SUBSTITUTE(SUBSTITUTE(B577,".",""),"/",""),"-","")," ",""),14))</f>
        <v>02099246000198</v>
      </c>
      <c r="D577" s="5" t="str">
        <f aca="false">IF(C577="","",MID(C577,1,2)&amp;"."&amp;MID(C577,3,3)&amp;"."&amp;MID(C577,6,3)&amp;"/"&amp;MID(C577,9,4)&amp;"-"&amp;MID(C577,13,2))</f>
        <v>02.099.246/0001-98</v>
      </c>
      <c r="E577" s="4" t="str">
        <f aca="false">IF(ISNA(MATCH(A577,cnpj!$A:$A,0)),"Lotação não existe na aba cnpj",IF(B577="","Sem CNPJ na aba cnpj","OK"))</f>
        <v>OK</v>
      </c>
    </row>
    <row r="578" customFormat="false" ht="15" hidden="false" customHeight="false" outlineLevel="0" collapsed="false">
      <c r="A578" s="4" t="n">
        <f aca="false">sisgi!A578</f>
        <v>173525</v>
      </c>
      <c r="B578" s="5" t="str">
        <f aca="false">IFERROR(IF(INDEX(cnpj!$B:$B,MATCH(A578,cnpj!$A:$A,0))="","",INDEX(cnpj!$B:$B,MATCH(A578,cnpj!$A:$A,0))),"")</f>
        <v>11.429.581/0001-06</v>
      </c>
      <c r="C578" s="5" t="str">
        <f aca="false">IF(B578="","",RIGHT("00000000000000"&amp;SUBSTITUTE(SUBSTITUTE(SUBSTITUTE(SUBSTITUTE(B578,".",""),"/",""),"-","")," ",""),14))</f>
        <v>11429581000106</v>
      </c>
      <c r="D578" s="5" t="str">
        <f aca="false">IF(C578="","",MID(C578,1,2)&amp;"."&amp;MID(C578,3,3)&amp;"."&amp;MID(C578,6,3)&amp;"/"&amp;MID(C578,9,4)&amp;"-"&amp;MID(C578,13,2))</f>
        <v>11.429.581/0001-06</v>
      </c>
      <c r="E578" s="4" t="str">
        <f aca="false">IF(ISNA(MATCH(A578,cnpj!$A:$A,0)),"Lotação não existe na aba cnpj",IF(B578="","Sem CNPJ na aba cnpj","OK"))</f>
        <v>OK</v>
      </c>
    </row>
    <row r="579" customFormat="false" ht="15" hidden="false" customHeight="false" outlineLevel="0" collapsed="false">
      <c r="A579" s="4" t="n">
        <f aca="false">sisgi!A579</f>
        <v>173541</v>
      </c>
      <c r="B579" s="5" t="str">
        <f aca="false">IFERROR(IF(INDEX(cnpj!$B:$B,MATCH(A579,cnpj!$A:$A,0))="","",INDEX(cnpj!$B:$B,MATCH(A579,cnpj!$A:$A,0))),"")</f>
        <v>04.402.364/0001-59</v>
      </c>
      <c r="C579" s="5" t="str">
        <f aca="false">IF(B579="","",RIGHT("00000000000000"&amp;SUBSTITUTE(SUBSTITUTE(SUBSTITUTE(SUBSTITUTE(B579,".",""),"/",""),"-","")," ",""),14))</f>
        <v>04402364000159</v>
      </c>
      <c r="D579" s="5" t="str">
        <f aca="false">IF(C579="","",MID(C579,1,2)&amp;"."&amp;MID(C579,3,3)&amp;"."&amp;MID(C579,6,3)&amp;"/"&amp;MID(C579,9,4)&amp;"-"&amp;MID(C579,13,2))</f>
        <v>04.402.364/0001-59</v>
      </c>
      <c r="E579" s="4" t="str">
        <f aca="false">IF(ISNA(MATCH(A579,cnpj!$A:$A,0)),"Lotação não existe na aba cnpj",IF(B579="","Sem CNPJ na aba cnpj","OK"))</f>
        <v>OK</v>
      </c>
    </row>
    <row r="580" customFormat="false" ht="15" hidden="false" customHeight="false" outlineLevel="0" collapsed="false">
      <c r="A580" s="4" t="n">
        <f aca="false">sisgi!A580</f>
        <v>173550</v>
      </c>
      <c r="B580" s="5" t="str">
        <f aca="false">IFERROR(IF(INDEX(cnpj!$B:$B,MATCH(A580,cnpj!$A:$A,0))="","",INDEX(cnpj!$B:$B,MATCH(A580,cnpj!$A:$A,0))),"")</f>
        <v>15.204.487/0001-00</v>
      </c>
      <c r="C580" s="5" t="str">
        <f aca="false">IF(B580="","",RIGHT("00000000000000"&amp;SUBSTITUTE(SUBSTITUTE(SUBSTITUTE(SUBSTITUTE(B580,".",""),"/",""),"-","")," ",""),14))</f>
        <v>15204487000100</v>
      </c>
      <c r="D580" s="5" t="str">
        <f aca="false">IF(C580="","",MID(C580,1,2)&amp;"."&amp;MID(C580,3,3)&amp;"."&amp;MID(C580,6,3)&amp;"/"&amp;MID(C580,9,4)&amp;"-"&amp;MID(C580,13,2))</f>
        <v>15.204.487/0001-00</v>
      </c>
      <c r="E580" s="4" t="str">
        <f aca="false">IF(ISNA(MATCH(A580,cnpj!$A:$A,0)),"Lotação não existe na aba cnpj",IF(B580="","Sem CNPJ na aba cnpj","OK"))</f>
        <v>OK</v>
      </c>
    </row>
    <row r="581" customFormat="false" ht="15" hidden="false" customHeight="false" outlineLevel="0" collapsed="false">
      <c r="A581" s="4" t="n">
        <f aca="false">sisgi!A581</f>
        <v>173568</v>
      </c>
      <c r="B581" s="5" t="str">
        <f aca="false">IFERROR(IF(INDEX(cnpj!$B:$B,MATCH(A581,cnpj!$A:$A,0))="","",INDEX(cnpj!$B:$B,MATCH(A581,cnpj!$A:$A,0))),"")</f>
        <v>15.204.510/0001-58</v>
      </c>
      <c r="C581" s="5" t="str">
        <f aca="false">IF(B581="","",RIGHT("00000000000000"&amp;SUBSTITUTE(SUBSTITUTE(SUBSTITUTE(SUBSTITUTE(B581,".",""),"/",""),"-","")," ",""),14))</f>
        <v>15204510000158</v>
      </c>
      <c r="D581" s="5" t="str">
        <f aca="false">IF(C581="","",MID(C581,1,2)&amp;"."&amp;MID(C581,3,3)&amp;"."&amp;MID(C581,6,3)&amp;"/"&amp;MID(C581,9,4)&amp;"-"&amp;MID(C581,13,2))</f>
        <v>15.204.510/0001-58</v>
      </c>
      <c r="E581" s="4" t="str">
        <f aca="false">IF(ISNA(MATCH(A581,cnpj!$A:$A,0)),"Lotação não existe na aba cnpj",IF(B581="","Sem CNPJ na aba cnpj","OK"))</f>
        <v>OK</v>
      </c>
    </row>
    <row r="582" customFormat="false" ht="15" hidden="false" customHeight="false" outlineLevel="0" collapsed="false">
      <c r="A582" s="4" t="n">
        <f aca="false">sisgi!A582</f>
        <v>173576</v>
      </c>
      <c r="B582" s="5" t="str">
        <f aca="false">IFERROR(IF(INDEX(cnpj!$B:$B,MATCH(A582,cnpj!$A:$A,0))="","",INDEX(cnpj!$B:$B,MATCH(A582,cnpj!$A:$A,0))),"")</f>
        <v>17.119.804/0001-07</v>
      </c>
      <c r="C582" s="5" t="str">
        <f aca="false">IF(B582="","",RIGHT("00000000000000"&amp;SUBSTITUTE(SUBSTITUTE(SUBSTITUTE(SUBSTITUTE(B582,".",""),"/",""),"-","")," ",""),14))</f>
        <v>17119804000107</v>
      </c>
      <c r="D582" s="5" t="str">
        <f aca="false">IF(C582="","",MID(C582,1,2)&amp;"."&amp;MID(C582,3,3)&amp;"."&amp;MID(C582,6,3)&amp;"/"&amp;MID(C582,9,4)&amp;"-"&amp;MID(C582,13,2))</f>
        <v>17.119.804/0001-07</v>
      </c>
      <c r="E582" s="4" t="str">
        <f aca="false">IF(ISNA(MATCH(A582,cnpj!$A:$A,0)),"Lotação não existe na aba cnpj",IF(B582="","Sem CNPJ na aba cnpj","OK"))</f>
        <v>OK</v>
      </c>
    </row>
    <row r="583" customFormat="false" ht="15" hidden="false" customHeight="false" outlineLevel="0" collapsed="false">
      <c r="A583" s="4" t="n">
        <f aca="false">sisgi!A583</f>
        <v>173584</v>
      </c>
      <c r="B583" s="5" t="str">
        <f aca="false">IFERROR(IF(INDEX(cnpj!$B:$B,MATCH(A583,cnpj!$A:$A,0))="","",INDEX(cnpj!$B:$B,MATCH(A583,cnpj!$A:$A,0))),"")</f>
        <v>15.606.896/0001-24</v>
      </c>
      <c r="C583" s="5" t="str">
        <f aca="false">IF(B583="","",RIGHT("00000000000000"&amp;SUBSTITUTE(SUBSTITUTE(SUBSTITUTE(SUBSTITUTE(B583,".",""),"/",""),"-","")," ",""),14))</f>
        <v>15606896000124</v>
      </c>
      <c r="D583" s="5" t="str">
        <f aca="false">IF(C583="","",MID(C583,1,2)&amp;"."&amp;MID(C583,3,3)&amp;"."&amp;MID(C583,6,3)&amp;"/"&amp;MID(C583,9,4)&amp;"-"&amp;MID(C583,13,2))</f>
        <v>15.606.896/0001-24</v>
      </c>
      <c r="E583" s="4" t="str">
        <f aca="false">IF(ISNA(MATCH(A583,cnpj!$A:$A,0)),"Lotação não existe na aba cnpj",IF(B583="","Sem CNPJ na aba cnpj","OK"))</f>
        <v>OK</v>
      </c>
    </row>
    <row r="584" customFormat="false" ht="15" hidden="false" customHeight="false" outlineLevel="0" collapsed="false">
      <c r="A584" s="4" t="n">
        <f aca="false">sisgi!A584</f>
        <v>173762</v>
      </c>
      <c r="B584" s="5" t="str">
        <f aca="false">IFERROR(IF(INDEX(cnpj!$B:$B,MATCH(A584,cnpj!$A:$A,0))="","",INDEX(cnpj!$B:$B,MATCH(A584,cnpj!$A:$A,0))),"")</f>
        <v>16.943.783/0001-87</v>
      </c>
      <c r="C584" s="5" t="str">
        <f aca="false">IF(B584="","",RIGHT("00000000000000"&amp;SUBSTITUTE(SUBSTITUTE(SUBSTITUTE(SUBSTITUTE(B584,".",""),"/",""),"-","")," ",""),14))</f>
        <v>16943783000187</v>
      </c>
      <c r="D584" s="5" t="str">
        <f aca="false">IF(C584="","",MID(C584,1,2)&amp;"."&amp;MID(C584,3,3)&amp;"."&amp;MID(C584,6,3)&amp;"/"&amp;MID(C584,9,4)&amp;"-"&amp;MID(C584,13,2))</f>
        <v>16.943.783/0001-87</v>
      </c>
      <c r="E584" s="4" t="str">
        <f aca="false">IF(ISNA(MATCH(A584,cnpj!$A:$A,0)),"Lotação não existe na aba cnpj",IF(B584="","Sem CNPJ na aba cnpj","OK"))</f>
        <v>OK</v>
      </c>
    </row>
    <row r="585" customFormat="false" ht="15" hidden="false" customHeight="false" outlineLevel="0" collapsed="false">
      <c r="A585" s="4" t="n">
        <f aca="false">sisgi!A585</f>
        <v>173770</v>
      </c>
      <c r="B585" s="5" t="str">
        <f aca="false">IFERROR(IF(INDEX(cnpj!$B:$B,MATCH(A585,cnpj!$A:$A,0))="","",INDEX(cnpj!$B:$B,MATCH(A585,cnpj!$A:$A,0))),"")</f>
        <v>16.960.610/0001-77</v>
      </c>
      <c r="C585" s="5" t="str">
        <f aca="false">IF(B585="","",RIGHT("00000000000000"&amp;SUBSTITUTE(SUBSTITUTE(SUBSTITUTE(SUBSTITUTE(B585,".",""),"/",""),"-","")," ",""),14))</f>
        <v>16960610000177</v>
      </c>
      <c r="D585" s="5" t="str">
        <f aca="false">IF(C585="","",MID(C585,1,2)&amp;"."&amp;MID(C585,3,3)&amp;"."&amp;MID(C585,6,3)&amp;"/"&amp;MID(C585,9,4)&amp;"-"&amp;MID(C585,13,2))</f>
        <v>16.960.610/0001-77</v>
      </c>
      <c r="E585" s="4" t="str">
        <f aca="false">IF(ISNA(MATCH(A585,cnpj!$A:$A,0)),"Lotação não existe na aba cnpj",IF(B585="","Sem CNPJ na aba cnpj","OK"))</f>
        <v>OK</v>
      </c>
    </row>
    <row r="586" customFormat="false" ht="15" hidden="false" customHeight="false" outlineLevel="0" collapsed="false">
      <c r="A586" s="4" t="n">
        <f aca="false">sisgi!A586</f>
        <v>174122</v>
      </c>
      <c r="B586" s="5" t="str">
        <f aca="false">IFERROR(IF(INDEX(cnpj!$B:$B,MATCH(A586,cnpj!$A:$A,0))="","",INDEX(cnpj!$B:$B,MATCH(A586,cnpj!$A:$A,0))),"")</f>
        <v>16.930.384/0001-81</v>
      </c>
      <c r="C586" s="5" t="str">
        <f aca="false">IF(B586="","",RIGHT("00000000000000"&amp;SUBSTITUTE(SUBSTITUTE(SUBSTITUTE(SUBSTITUTE(B586,".",""),"/",""),"-","")," ",""),14))</f>
        <v>16930384000181</v>
      </c>
      <c r="D586" s="5" t="str">
        <f aca="false">IF(C586="","",MID(C586,1,2)&amp;"."&amp;MID(C586,3,3)&amp;"."&amp;MID(C586,6,3)&amp;"/"&amp;MID(C586,9,4)&amp;"-"&amp;MID(C586,13,2))</f>
        <v>16.930.384/0001-81</v>
      </c>
      <c r="E586" s="4" t="str">
        <f aca="false">IF(ISNA(MATCH(A586,cnpj!$A:$A,0)),"Lotação não existe na aba cnpj",IF(B586="","Sem CNPJ na aba cnpj","OK"))</f>
        <v>OK</v>
      </c>
    </row>
    <row r="587" customFormat="false" ht="15" hidden="false" customHeight="false" outlineLevel="0" collapsed="false">
      <c r="A587" s="4" t="n">
        <f aca="false">sisgi!A587</f>
        <v>176427</v>
      </c>
      <c r="B587" s="5" t="str">
        <f aca="false">IFERROR(IF(INDEX(cnpj!$B:$B,MATCH(A587,cnpj!$A:$A,0))="","",INDEX(cnpj!$B:$B,MATCH(A587,cnpj!$A:$A,0))),"")</f>
        <v>18.204.069/0001-00</v>
      </c>
      <c r="C587" s="5" t="str">
        <f aca="false">IF(B587="","",RIGHT("00000000000000"&amp;SUBSTITUTE(SUBSTITUTE(SUBSTITUTE(SUBSTITUTE(B587,".",""),"/",""),"-","")," ",""),14))</f>
        <v>18204069000100</v>
      </c>
      <c r="D587" s="5" t="str">
        <f aca="false">IF(C587="","",MID(C587,1,2)&amp;"."&amp;MID(C587,3,3)&amp;"."&amp;MID(C587,6,3)&amp;"/"&amp;MID(C587,9,4)&amp;"-"&amp;MID(C587,13,2))</f>
        <v>18.204.069/0001-00</v>
      </c>
      <c r="E587" s="4" t="str">
        <f aca="false">IF(ISNA(MATCH(A587,cnpj!$A:$A,0)),"Lotação não existe na aba cnpj",IF(B587="","Sem CNPJ na aba cnpj","OK"))</f>
        <v>OK</v>
      </c>
    </row>
    <row r="588" customFormat="false" ht="15" hidden="false" customHeight="false" outlineLevel="0" collapsed="false">
      <c r="A588" s="4" t="n">
        <f aca="false">sisgi!A588</f>
        <v>176451</v>
      </c>
      <c r="B588" s="5" t="str">
        <f aca="false">IFERROR(IF(INDEX(cnpj!$B:$B,MATCH(A588,cnpj!$A:$A,0))="","",INDEX(cnpj!$B:$B,MATCH(A588,cnpj!$A:$A,0))),"")</f>
        <v>18.397.685/0001-17</v>
      </c>
      <c r="C588" s="5" t="str">
        <f aca="false">IF(B588="","",RIGHT("00000000000000"&amp;SUBSTITUTE(SUBSTITUTE(SUBSTITUTE(SUBSTITUTE(B588,".",""),"/",""),"-","")," ",""),14))</f>
        <v>18397685000117</v>
      </c>
      <c r="D588" s="5" t="str">
        <f aca="false">IF(C588="","",MID(C588,1,2)&amp;"."&amp;MID(C588,3,3)&amp;"."&amp;MID(C588,6,3)&amp;"/"&amp;MID(C588,9,4)&amp;"-"&amp;MID(C588,13,2))</f>
        <v>18.397.685/0001-17</v>
      </c>
      <c r="E588" s="4" t="str">
        <f aca="false">IF(ISNA(MATCH(A588,cnpj!$A:$A,0)),"Lotação não existe na aba cnpj",IF(B588="","Sem CNPJ na aba cnpj","OK"))</f>
        <v>OK</v>
      </c>
    </row>
    <row r="589" customFormat="false" ht="15" hidden="false" customHeight="false" outlineLevel="0" collapsed="false">
      <c r="A589" s="4" t="n">
        <f aca="false">sisgi!A589</f>
        <v>176460</v>
      </c>
      <c r="B589" s="5" t="str">
        <f aca="false">IFERROR(IF(INDEX(cnpj!$B:$B,MATCH(A589,cnpj!$A:$A,0))="","",INDEX(cnpj!$B:$B,MATCH(A589,cnpj!$A:$A,0))),"")</f>
        <v>18.011.814/0001-97</v>
      </c>
      <c r="C589" s="5" t="str">
        <f aca="false">IF(B589="","",RIGHT("00000000000000"&amp;SUBSTITUTE(SUBSTITUTE(SUBSTITUTE(SUBSTITUTE(B589,".",""),"/",""),"-","")," ",""),14))</f>
        <v>18011814000197</v>
      </c>
      <c r="D589" s="5" t="str">
        <f aca="false">IF(C589="","",MID(C589,1,2)&amp;"."&amp;MID(C589,3,3)&amp;"."&amp;MID(C589,6,3)&amp;"/"&amp;MID(C589,9,4)&amp;"-"&amp;MID(C589,13,2))</f>
        <v>18.011.814/0001-97</v>
      </c>
      <c r="E589" s="4" t="str">
        <f aca="false">IF(ISNA(MATCH(A589,cnpj!$A:$A,0)),"Lotação não existe na aba cnpj",IF(B589="","Sem CNPJ na aba cnpj","OK"))</f>
        <v>OK</v>
      </c>
    </row>
    <row r="590" customFormat="false" ht="15" hidden="false" customHeight="false" outlineLevel="0" collapsed="false">
      <c r="A590" s="4" t="n">
        <f aca="false">sisgi!A590</f>
        <v>176648</v>
      </c>
      <c r="B590" s="5" t="str">
        <f aca="false">IFERROR(IF(INDEX(cnpj!$B:$B,MATCH(A590,cnpj!$A:$A,0))="","",INDEX(cnpj!$B:$B,MATCH(A590,cnpj!$A:$A,0))),"")</f>
        <v>18.295.229/0001-66</v>
      </c>
      <c r="C590" s="5" t="str">
        <f aca="false">IF(B590="","",RIGHT("00000000000000"&amp;SUBSTITUTE(SUBSTITUTE(SUBSTITUTE(SUBSTITUTE(B590,".",""),"/",""),"-","")," ",""),14))</f>
        <v>18295229000166</v>
      </c>
      <c r="D590" s="5" t="str">
        <f aca="false">IF(C590="","",MID(C590,1,2)&amp;"."&amp;MID(C590,3,3)&amp;"."&amp;MID(C590,6,3)&amp;"/"&amp;MID(C590,9,4)&amp;"-"&amp;MID(C590,13,2))</f>
        <v>18.295.229/0001-66</v>
      </c>
      <c r="E590" s="4" t="str">
        <f aca="false">IF(ISNA(MATCH(A590,cnpj!$A:$A,0)),"Lotação não existe na aba cnpj",IF(B590="","Sem CNPJ na aba cnpj","OK"))</f>
        <v>OK</v>
      </c>
    </row>
    <row r="591" customFormat="false" ht="15" hidden="false" customHeight="false" outlineLevel="0" collapsed="false">
      <c r="A591" s="4" t="n">
        <f aca="false">sisgi!A591</f>
        <v>176664</v>
      </c>
      <c r="B591" s="5" t="str">
        <f aca="false">IFERROR(IF(INDEX(cnpj!$B:$B,MATCH(A591,cnpj!$A:$A,0))="","",INDEX(cnpj!$B:$B,MATCH(A591,cnpj!$A:$A,0))),"")</f>
        <v>20.063.618/0001-08</v>
      </c>
      <c r="C591" s="5" t="str">
        <f aca="false">IF(B591="","",RIGHT("00000000000000"&amp;SUBSTITUTE(SUBSTITUTE(SUBSTITUTE(SUBSTITUTE(B591,".",""),"/",""),"-","")," ",""),14))</f>
        <v>20063618000108</v>
      </c>
      <c r="D591" s="5" t="str">
        <f aca="false">IF(C591="","",MID(C591,1,2)&amp;"."&amp;MID(C591,3,3)&amp;"."&amp;MID(C591,6,3)&amp;"/"&amp;MID(C591,9,4)&amp;"-"&amp;MID(C591,13,2))</f>
        <v>20.063.618/0001-08</v>
      </c>
      <c r="E591" s="4" t="str">
        <f aca="false">IF(ISNA(MATCH(A591,cnpj!$A:$A,0)),"Lotação não existe na aba cnpj",IF(B591="","Sem CNPJ na aba cnpj","OK"))</f>
        <v>OK</v>
      </c>
    </row>
    <row r="592" customFormat="false" ht="15" hidden="false" customHeight="false" outlineLevel="0" collapsed="false">
      <c r="A592" s="4" t="n">
        <f aca="false">sisgi!A592</f>
        <v>176770</v>
      </c>
      <c r="B592" s="5" t="str">
        <f aca="false">IFERROR(IF(INDEX(cnpj!$B:$B,MATCH(A592,cnpj!$A:$A,0))="","",INDEX(cnpj!$B:$B,MATCH(A592,cnpj!$A:$A,0))),"")</f>
        <v>20.283.631/0001-72</v>
      </c>
      <c r="C592" s="5" t="str">
        <f aca="false">IF(B592="","",RIGHT("00000000000000"&amp;SUBSTITUTE(SUBSTITUTE(SUBSTITUTE(SUBSTITUTE(B592,".",""),"/",""),"-","")," ",""),14))</f>
        <v>20283631000172</v>
      </c>
      <c r="D592" s="5" t="str">
        <f aca="false">IF(C592="","",MID(C592,1,2)&amp;"."&amp;MID(C592,3,3)&amp;"."&amp;MID(C592,6,3)&amp;"/"&amp;MID(C592,9,4)&amp;"-"&amp;MID(C592,13,2))</f>
        <v>20.283.631/0001-72</v>
      </c>
      <c r="E592" s="4" t="str">
        <f aca="false">IF(ISNA(MATCH(A592,cnpj!$A:$A,0)),"Lotação não existe na aba cnpj",IF(B592="","Sem CNPJ na aba cnpj","OK"))</f>
        <v>OK</v>
      </c>
    </row>
    <row r="593" customFormat="false" ht="15" hidden="false" customHeight="false" outlineLevel="0" collapsed="false">
      <c r="A593" s="4" t="n">
        <f aca="false">sisgi!A593</f>
        <v>176800</v>
      </c>
      <c r="B593" s="5" t="str">
        <f aca="false">IFERROR(IF(INDEX(cnpj!$B:$B,MATCH(A593,cnpj!$A:$A,0))="","",INDEX(cnpj!$B:$B,MATCH(A593,cnpj!$A:$A,0))),"")</f>
        <v>21.358.020/0001-09</v>
      </c>
      <c r="C593" s="5" t="str">
        <f aca="false">IF(B593="","",RIGHT("00000000000000"&amp;SUBSTITUTE(SUBSTITUTE(SUBSTITUTE(SUBSTITUTE(B593,".",""),"/",""),"-","")," ",""),14))</f>
        <v>21358020000109</v>
      </c>
      <c r="D593" s="5" t="str">
        <f aca="false">IF(C593="","",MID(C593,1,2)&amp;"."&amp;MID(C593,3,3)&amp;"."&amp;MID(C593,6,3)&amp;"/"&amp;MID(C593,9,4)&amp;"-"&amp;MID(C593,13,2))</f>
        <v>21.358.020/0001-09</v>
      </c>
      <c r="E593" s="4" t="str">
        <f aca="false">IF(ISNA(MATCH(A593,cnpj!$A:$A,0)),"Lotação não existe na aba cnpj",IF(B593="","Sem CNPJ na aba cnpj","OK"))</f>
        <v>OK</v>
      </c>
    </row>
    <row r="594" customFormat="false" ht="15" hidden="false" customHeight="false" outlineLevel="0" collapsed="false">
      <c r="A594" s="4" t="n">
        <f aca="false">sisgi!A594</f>
        <v>183636</v>
      </c>
      <c r="B594" s="5" t="str">
        <f aca="false">IFERROR(IF(INDEX(cnpj!$B:$B,MATCH(A594,cnpj!$A:$A,0))="","",INDEX(cnpj!$B:$B,MATCH(A594,cnpj!$A:$A,0))),"")</f>
        <v>20.867.061/0001-68</v>
      </c>
      <c r="C594" s="5" t="str">
        <f aca="false">IF(B594="","",RIGHT("00000000000000"&amp;SUBSTITUTE(SUBSTITUTE(SUBSTITUTE(SUBSTITUTE(B594,".",""),"/",""),"-","")," ",""),14))</f>
        <v>20867061000168</v>
      </c>
      <c r="D594" s="5" t="str">
        <f aca="false">IF(C594="","",MID(C594,1,2)&amp;"."&amp;MID(C594,3,3)&amp;"."&amp;MID(C594,6,3)&amp;"/"&amp;MID(C594,9,4)&amp;"-"&amp;MID(C594,13,2))</f>
        <v>20.867.061/0001-68</v>
      </c>
      <c r="E594" s="4" t="str">
        <f aca="false">IF(ISNA(MATCH(A594,cnpj!$A:$A,0)),"Lotação não existe na aba cnpj",IF(B594="","Sem CNPJ na aba cnpj","OK"))</f>
        <v>OK</v>
      </c>
    </row>
    <row r="595" customFormat="false" ht="15" hidden="false" customHeight="false" outlineLevel="0" collapsed="false">
      <c r="A595" s="4" t="n">
        <f aca="false">sisgi!A595</f>
        <v>183652</v>
      </c>
      <c r="B595" s="5" t="str">
        <f aca="false">IFERROR(IF(INDEX(cnpj!$B:$B,MATCH(A595,cnpj!$A:$A,0))="","",INDEX(cnpj!$B:$B,MATCH(A595,cnpj!$A:$A,0))),"")</f>
        <v>20.846.568/0001-35</v>
      </c>
      <c r="C595" s="5" t="str">
        <f aca="false">IF(B595="","",RIGHT("00000000000000"&amp;SUBSTITUTE(SUBSTITUTE(SUBSTITUTE(SUBSTITUTE(B595,".",""),"/",""),"-","")," ",""),14))</f>
        <v>20846568000135</v>
      </c>
      <c r="D595" s="5" t="str">
        <f aca="false">IF(C595="","",MID(C595,1,2)&amp;"."&amp;MID(C595,3,3)&amp;"."&amp;MID(C595,6,3)&amp;"/"&amp;MID(C595,9,4)&amp;"-"&amp;MID(C595,13,2))</f>
        <v>20.846.568/0001-35</v>
      </c>
      <c r="E595" s="4" t="str">
        <f aca="false">IF(ISNA(MATCH(A595,cnpj!$A:$A,0)),"Lotação não existe na aba cnpj",IF(B595="","Sem CNPJ na aba cnpj","OK"))</f>
        <v>OK</v>
      </c>
    </row>
    <row r="596" customFormat="false" ht="15" hidden="false" customHeight="false" outlineLevel="0" collapsed="false">
      <c r="A596" s="4" t="n">
        <f aca="false">sisgi!A596</f>
        <v>184152</v>
      </c>
      <c r="B596" s="5" t="str">
        <f aca="false">IFERROR(IF(INDEX(cnpj!$B:$B,MATCH(A596,cnpj!$A:$A,0))="","",INDEX(cnpj!$B:$B,MATCH(A596,cnpj!$A:$A,0))),"")</f>
        <v>22.652.134/0001-20</v>
      </c>
      <c r="C596" s="5" t="str">
        <f aca="false">IF(B596="","",RIGHT("00000000000000"&amp;SUBSTITUTE(SUBSTITUTE(SUBSTITUTE(SUBSTITUTE(B596,".",""),"/",""),"-","")," ",""),14))</f>
        <v>22652134000120</v>
      </c>
      <c r="D596" s="5" t="str">
        <f aca="false">IF(C596="","",MID(C596,1,2)&amp;"."&amp;MID(C596,3,3)&amp;"."&amp;MID(C596,6,3)&amp;"/"&amp;MID(C596,9,4)&amp;"-"&amp;MID(C596,13,2))</f>
        <v>22.652.134/0001-20</v>
      </c>
      <c r="E596" s="4" t="str">
        <f aca="false">IF(ISNA(MATCH(A596,cnpj!$A:$A,0)),"Lotação não existe na aba cnpj",IF(B596="","Sem CNPJ na aba cnpj","OK"))</f>
        <v>OK</v>
      </c>
    </row>
    <row r="597" customFormat="false" ht="15" hidden="false" customHeight="false" outlineLevel="0" collapsed="false">
      <c r="A597" s="4" t="n">
        <f aca="false">sisgi!A597</f>
        <v>184390</v>
      </c>
      <c r="B597" s="5" t="str">
        <f aca="false">IFERROR(IF(INDEX(cnpj!$B:$B,MATCH(A597,cnpj!$A:$A,0))="","",INDEX(cnpj!$B:$B,MATCH(A597,cnpj!$A:$A,0))),"")</f>
        <v>23.000.442/0001-33</v>
      </c>
      <c r="C597" s="5" t="str">
        <f aca="false">IF(B597="","",RIGHT("00000000000000"&amp;SUBSTITUTE(SUBSTITUTE(SUBSTITUTE(SUBSTITUTE(B597,".",""),"/",""),"-","")," ",""),14))</f>
        <v>23000442000133</v>
      </c>
      <c r="D597" s="5" t="str">
        <f aca="false">IF(C597="","",MID(C597,1,2)&amp;"."&amp;MID(C597,3,3)&amp;"."&amp;MID(C597,6,3)&amp;"/"&amp;MID(C597,9,4)&amp;"-"&amp;MID(C597,13,2))</f>
        <v>23.000.442/0001-33</v>
      </c>
      <c r="E597" s="4" t="str">
        <f aca="false">IF(ISNA(MATCH(A597,cnpj!$A:$A,0)),"Lotação não existe na aba cnpj",IF(B597="","Sem CNPJ na aba cnpj","OK"))</f>
        <v>OK</v>
      </c>
    </row>
    <row r="598" customFormat="false" ht="15" hidden="false" customHeight="false" outlineLevel="0" collapsed="false">
      <c r="A598" s="4" t="n">
        <f aca="false">sisgi!A598</f>
        <v>184586</v>
      </c>
      <c r="B598" s="5" t="str">
        <f aca="false">IFERROR(IF(INDEX(cnpj!$B:$B,MATCH(A598,cnpj!$A:$A,0))="","",INDEX(cnpj!$B:$B,MATCH(A598,cnpj!$A:$A,0))),"")</f>
        <v>23.113.135/0001-69</v>
      </c>
      <c r="C598" s="5" t="str">
        <f aca="false">IF(B598="","",RIGHT("00000000000000"&amp;SUBSTITUTE(SUBSTITUTE(SUBSTITUTE(SUBSTITUTE(B598,".",""),"/",""),"-","")," ",""),14))</f>
        <v>23113135000169</v>
      </c>
      <c r="D598" s="5" t="str">
        <f aca="false">IF(C598="","",MID(C598,1,2)&amp;"."&amp;MID(C598,3,3)&amp;"."&amp;MID(C598,6,3)&amp;"/"&amp;MID(C598,9,4)&amp;"-"&amp;MID(C598,13,2))</f>
        <v>23.113.135/0001-69</v>
      </c>
      <c r="E598" s="4" t="str">
        <f aca="false">IF(ISNA(MATCH(A598,cnpj!$A:$A,0)),"Lotação não existe na aba cnpj",IF(B598="","Sem CNPJ na aba cnpj","OK"))</f>
        <v>OK</v>
      </c>
    </row>
    <row r="599" customFormat="false" ht="15" hidden="false" customHeight="false" outlineLevel="0" collapsed="false">
      <c r="A599" s="4" t="n">
        <f aca="false">sisgi!A599</f>
        <v>191841</v>
      </c>
      <c r="B599" s="5" t="str">
        <f aca="false">IFERROR(IF(INDEX(cnpj!$B:$B,MATCH(A599,cnpj!$A:$A,0))="","",INDEX(cnpj!$B:$B,MATCH(A599,cnpj!$A:$A,0))),"")</f>
        <v>27.060.969/0001-04</v>
      </c>
      <c r="C599" s="5" t="str">
        <f aca="false">IF(B599="","",RIGHT("00000000000000"&amp;SUBSTITUTE(SUBSTITUTE(SUBSTITUTE(SUBSTITUTE(B599,".",""),"/",""),"-","")," ",""),14))</f>
        <v>27060969000104</v>
      </c>
      <c r="D599" s="5" t="str">
        <f aca="false">IF(C599="","",MID(C599,1,2)&amp;"."&amp;MID(C599,3,3)&amp;"."&amp;MID(C599,6,3)&amp;"/"&amp;MID(C599,9,4)&amp;"-"&amp;MID(C599,13,2))</f>
        <v>27.060.969/0001-04</v>
      </c>
      <c r="E599" s="4" t="str">
        <f aca="false">IF(ISNA(MATCH(A599,cnpj!$A:$A,0)),"Lotação não existe na aba cnpj",IF(B599="","Sem CNPJ na aba cnpj","OK"))</f>
        <v>OK</v>
      </c>
    </row>
    <row r="600" customFormat="false" ht="15" hidden="false" customHeight="false" outlineLevel="0" collapsed="false">
      <c r="A600" s="4" t="n">
        <f aca="false">sisgi!A600</f>
        <v>192031</v>
      </c>
      <c r="B600" s="5" t="str">
        <f aca="false">IFERROR(IF(INDEX(cnpj!$B:$B,MATCH(A600,cnpj!$A:$A,0))="","",INDEX(cnpj!$B:$B,MATCH(A600,cnpj!$A:$A,0))),"")</f>
        <v>55.722.935/0001-73</v>
      </c>
      <c r="C600" s="5" t="str">
        <f aca="false">IF(B600="","",RIGHT("00000000000000"&amp;SUBSTITUTE(SUBSTITUTE(SUBSTITUTE(SUBSTITUTE(B600,".",""),"/",""),"-","")," ",""),14))</f>
        <v>55722935000173</v>
      </c>
      <c r="D600" s="5" t="str">
        <f aca="false">IF(C600="","",MID(C600,1,2)&amp;"."&amp;MID(C600,3,3)&amp;"."&amp;MID(C600,6,3)&amp;"/"&amp;MID(C600,9,4)&amp;"-"&amp;MID(C600,13,2))</f>
        <v>55.722.935/0001-73</v>
      </c>
      <c r="E600" s="4" t="str">
        <f aca="false">IF(ISNA(MATCH(A600,cnpj!$A:$A,0)),"Lotação não existe na aba cnpj",IF(B600="","Sem CNPJ na aba cnpj","OK"))</f>
        <v>OK</v>
      </c>
    </row>
    <row r="601" customFormat="false" ht="15" hidden="false" customHeight="false" outlineLevel="0" collapsed="false">
      <c r="A601" s="4" t="n">
        <f aca="false">sisgi!A601</f>
        <v>192040</v>
      </c>
      <c r="B601" s="5" t="str">
        <f aca="false">IFERROR(IF(INDEX(cnpj!$B:$B,MATCH(A601,cnpj!$A:$A,0))="","",INDEX(cnpj!$B:$B,MATCH(A601,cnpj!$A:$A,0))),"")</f>
        <v>25.026.768/0001-65</v>
      </c>
      <c r="C601" s="5" t="str">
        <f aca="false">IF(B601="","",RIGHT("00000000000000"&amp;SUBSTITUTE(SUBSTITUTE(SUBSTITUTE(SUBSTITUTE(B601,".",""),"/",""),"-","")," ",""),14))</f>
        <v>25026768000165</v>
      </c>
      <c r="D601" s="5" t="str">
        <f aca="false">IF(C601="","",MID(C601,1,2)&amp;"."&amp;MID(C601,3,3)&amp;"."&amp;MID(C601,6,3)&amp;"/"&amp;MID(C601,9,4)&amp;"-"&amp;MID(C601,13,2))</f>
        <v>25.026.768/0001-65</v>
      </c>
      <c r="E601" s="4" t="str">
        <f aca="false">IF(ISNA(MATCH(A601,cnpj!$A:$A,0)),"Lotação não existe na aba cnpj",IF(B601="","Sem CNPJ na aba cnpj","OK"))</f>
        <v>OK</v>
      </c>
    </row>
    <row r="602" customFormat="false" ht="15" hidden="false" customHeight="false" outlineLevel="0" collapsed="false">
      <c r="A602" s="4" t="n">
        <f aca="false">sisgi!A602</f>
        <v>192058</v>
      </c>
      <c r="B602" s="5" t="str">
        <f aca="false">IFERROR(IF(INDEX(cnpj!$B:$B,MATCH(A602,cnpj!$A:$A,0))="","",INDEX(cnpj!$B:$B,MATCH(A602,cnpj!$A:$A,0))),"")</f>
        <v>24.866.025/0001-30</v>
      </c>
      <c r="C602" s="5" t="str">
        <f aca="false">IF(B602="","",RIGHT("00000000000000"&amp;SUBSTITUTE(SUBSTITUTE(SUBSTITUTE(SUBSTITUTE(B602,".",""),"/",""),"-","")," ",""),14))</f>
        <v>24866025000130</v>
      </c>
      <c r="D602" s="5" t="str">
        <f aca="false">IF(C602="","",MID(C602,1,2)&amp;"."&amp;MID(C602,3,3)&amp;"."&amp;MID(C602,6,3)&amp;"/"&amp;MID(C602,9,4)&amp;"-"&amp;MID(C602,13,2))</f>
        <v>24.866.025/0001-30</v>
      </c>
      <c r="E602" s="4" t="str">
        <f aca="false">IF(ISNA(MATCH(A602,cnpj!$A:$A,0)),"Lotação não existe na aba cnpj",IF(B602="","Sem CNPJ na aba cnpj","OK"))</f>
        <v>OK</v>
      </c>
    </row>
    <row r="603" customFormat="false" ht="15" hidden="false" customHeight="false" outlineLevel="0" collapsed="false">
      <c r="A603" s="4" t="n">
        <f aca="false">sisgi!A603</f>
        <v>192112</v>
      </c>
      <c r="B603" s="5" t="str">
        <f aca="false">IFERROR(IF(INDEX(cnpj!$B:$B,MATCH(A603,cnpj!$A:$A,0))="","",INDEX(cnpj!$B:$B,MATCH(A603,cnpj!$A:$A,0))),"")</f>
        <v>24.321.293/0001-77</v>
      </c>
      <c r="C603" s="5" t="str">
        <f aca="false">IF(B603="","",RIGHT("00000000000000"&amp;SUBSTITUTE(SUBSTITUTE(SUBSTITUTE(SUBSTITUTE(B603,".",""),"/",""),"-","")," ",""),14))</f>
        <v>24321293000177</v>
      </c>
      <c r="D603" s="5" t="str">
        <f aca="false">IF(C603="","",MID(C603,1,2)&amp;"."&amp;MID(C603,3,3)&amp;"."&amp;MID(C603,6,3)&amp;"/"&amp;MID(C603,9,4)&amp;"-"&amp;MID(C603,13,2))</f>
        <v>24.321.293/0001-77</v>
      </c>
      <c r="E603" s="4" t="str">
        <f aca="false">IF(ISNA(MATCH(A603,cnpj!$A:$A,0)),"Lotação não existe na aba cnpj",IF(B603="","Sem CNPJ na aba cnpj","OK"))</f>
        <v>OK</v>
      </c>
    </row>
    <row r="604" customFormat="false" ht="15" hidden="false" customHeight="false" outlineLevel="0" collapsed="false">
      <c r="A604" s="4" t="n">
        <f aca="false">sisgi!A604</f>
        <v>192139</v>
      </c>
      <c r="B604" s="5" t="str">
        <f aca="false">IFERROR(IF(INDEX(cnpj!$B:$B,MATCH(A604,cnpj!$A:$A,0))="","",INDEX(cnpj!$B:$B,MATCH(A604,cnpj!$A:$A,0))),"")</f>
        <v>24.963.971/0001-03</v>
      </c>
      <c r="C604" s="5" t="str">
        <f aca="false">IF(B604="","",RIGHT("00000000000000"&amp;SUBSTITUTE(SUBSTITUTE(SUBSTITUTE(SUBSTITUTE(B604,".",""),"/",""),"-","")," ",""),14))</f>
        <v>24963971000103</v>
      </c>
      <c r="D604" s="5" t="str">
        <f aca="false">IF(C604="","",MID(C604,1,2)&amp;"."&amp;MID(C604,3,3)&amp;"."&amp;MID(C604,6,3)&amp;"/"&amp;MID(C604,9,4)&amp;"-"&amp;MID(C604,13,2))</f>
        <v>24.963.971/0001-03</v>
      </c>
      <c r="E604" s="4" t="str">
        <f aca="false">IF(ISNA(MATCH(A604,cnpj!$A:$A,0)),"Lotação não existe na aba cnpj",IF(B604="","Sem CNPJ na aba cnpj","OK"))</f>
        <v>OK</v>
      </c>
    </row>
    <row r="605" customFormat="false" ht="15" hidden="false" customHeight="false" outlineLevel="0" collapsed="false">
      <c r="A605" s="4" t="n">
        <f aca="false">sisgi!A605</f>
        <v>192147</v>
      </c>
      <c r="B605" s="5" t="str">
        <f aca="false">IFERROR(IF(INDEX(cnpj!$B:$B,MATCH(A605,cnpj!$A:$A,0))="","",INDEX(cnpj!$B:$B,MATCH(A605,cnpj!$A:$A,0))),"")</f>
        <v>26.096.163/0001-03</v>
      </c>
      <c r="C605" s="5" t="str">
        <f aca="false">IF(B605="","",RIGHT("00000000000000"&amp;SUBSTITUTE(SUBSTITUTE(SUBSTITUTE(SUBSTITUTE(B605,".",""),"/",""),"-","")," ",""),14))</f>
        <v>26096163000103</v>
      </c>
      <c r="D605" s="5" t="str">
        <f aca="false">IF(C605="","",MID(C605,1,2)&amp;"."&amp;MID(C605,3,3)&amp;"."&amp;MID(C605,6,3)&amp;"/"&amp;MID(C605,9,4)&amp;"-"&amp;MID(C605,13,2))</f>
        <v>26.096.163/0001-03</v>
      </c>
      <c r="E605" s="4" t="str">
        <f aca="false">IF(ISNA(MATCH(A605,cnpj!$A:$A,0)),"Lotação não existe na aba cnpj",IF(B605="","Sem CNPJ na aba cnpj","OK"))</f>
        <v>OK</v>
      </c>
    </row>
    <row r="606" customFormat="false" ht="15" hidden="false" customHeight="false" outlineLevel="0" collapsed="false">
      <c r="A606" s="4" t="n">
        <f aca="false">sisgi!A606</f>
        <v>192163</v>
      </c>
      <c r="B606" s="5" t="str">
        <f aca="false">IFERROR(IF(INDEX(cnpj!$B:$B,MATCH(A606,cnpj!$A:$A,0))="","",INDEX(cnpj!$B:$B,MATCH(A606,cnpj!$A:$A,0))),"")</f>
        <v>25.009.776/0001-01</v>
      </c>
      <c r="C606" s="5" t="str">
        <f aca="false">IF(B606="","",RIGHT("00000000000000"&amp;SUBSTITUTE(SUBSTITUTE(SUBSTITUTE(SUBSTITUTE(B606,".",""),"/",""),"-","")," ",""),14))</f>
        <v>25009776000101</v>
      </c>
      <c r="D606" s="5" t="str">
        <f aca="false">IF(C606="","",MID(C606,1,2)&amp;"."&amp;MID(C606,3,3)&amp;"."&amp;MID(C606,6,3)&amp;"/"&amp;MID(C606,9,4)&amp;"-"&amp;MID(C606,13,2))</f>
        <v>25.009.776/0001-01</v>
      </c>
      <c r="E606" s="4" t="str">
        <f aca="false">IF(ISNA(MATCH(A606,cnpj!$A:$A,0)),"Lotação não existe na aba cnpj",IF(B606="","Sem CNPJ na aba cnpj","OK"))</f>
        <v>OK</v>
      </c>
    </row>
    <row r="607" customFormat="false" ht="15" hidden="false" customHeight="false" outlineLevel="0" collapsed="false">
      <c r="A607" s="4" t="n">
        <f aca="false">sisgi!A607</f>
        <v>192210</v>
      </c>
      <c r="B607" s="5" t="str">
        <f aca="false">IFERROR(IF(INDEX(cnpj!$B:$B,MATCH(A607,cnpj!$A:$A,0))="","",INDEX(cnpj!$B:$B,MATCH(A607,cnpj!$A:$A,0))),"")</f>
        <v>26.133.261/0001-73</v>
      </c>
      <c r="C607" s="5" t="str">
        <f aca="false">IF(B607="","",RIGHT("00000000000000"&amp;SUBSTITUTE(SUBSTITUTE(SUBSTITUTE(SUBSTITUTE(B607,".",""),"/",""),"-","")," ",""),14))</f>
        <v>26133261000173</v>
      </c>
      <c r="D607" s="5" t="str">
        <f aca="false">IF(C607="","",MID(C607,1,2)&amp;"."&amp;MID(C607,3,3)&amp;"."&amp;MID(C607,6,3)&amp;"/"&amp;MID(C607,9,4)&amp;"-"&amp;MID(C607,13,2))</f>
        <v>26.133.261/0001-73</v>
      </c>
      <c r="E607" s="4" t="str">
        <f aca="false">IF(ISNA(MATCH(A607,cnpj!$A:$A,0)),"Lotação não existe na aba cnpj",IF(B607="","Sem CNPJ na aba cnpj","OK"))</f>
        <v>OK</v>
      </c>
    </row>
    <row r="608" customFormat="false" ht="15" hidden="false" customHeight="false" outlineLevel="0" collapsed="false">
      <c r="A608" s="4" t="n">
        <f aca="false">sisgi!A608</f>
        <v>192228</v>
      </c>
      <c r="B608" s="5" t="str">
        <f aca="false">IFERROR(IF(INDEX(cnpj!$B:$B,MATCH(A608,cnpj!$A:$A,0))="","",INDEX(cnpj!$B:$B,MATCH(A608,cnpj!$A:$A,0))),"")</f>
        <v>24.618.686/0001-47</v>
      </c>
      <c r="C608" s="5" t="str">
        <f aca="false">IF(B608="","",RIGHT("00000000000000"&amp;SUBSTITUTE(SUBSTITUTE(SUBSTITUTE(SUBSTITUTE(B608,".",""),"/",""),"-","")," ",""),14))</f>
        <v>24618686000147</v>
      </c>
      <c r="D608" s="5" t="str">
        <f aca="false">IF(C608="","",MID(C608,1,2)&amp;"."&amp;MID(C608,3,3)&amp;"."&amp;MID(C608,6,3)&amp;"/"&amp;MID(C608,9,4)&amp;"-"&amp;MID(C608,13,2))</f>
        <v>24.618.686/0001-47</v>
      </c>
      <c r="E608" s="4" t="str">
        <f aca="false">IF(ISNA(MATCH(A608,cnpj!$A:$A,0)),"Lotação não existe na aba cnpj",IF(B608="","Sem CNPJ na aba cnpj","OK"))</f>
        <v>OK</v>
      </c>
    </row>
    <row r="609" customFormat="false" ht="15" hidden="false" customHeight="false" outlineLevel="0" collapsed="false">
      <c r="A609" s="4" t="n">
        <f aca="false">sisgi!A609</f>
        <v>192643</v>
      </c>
      <c r="B609" s="5" t="str">
        <f aca="false">IFERROR(IF(INDEX(cnpj!$B:$B,MATCH(A609,cnpj!$A:$A,0))="","",INDEX(cnpj!$B:$B,MATCH(A609,cnpj!$A:$A,0))),"")</f>
        <v>26.434.291/0001-10</v>
      </c>
      <c r="C609" s="5" t="str">
        <f aca="false">IF(B609="","",RIGHT("00000000000000"&amp;SUBSTITUTE(SUBSTITUTE(SUBSTITUTE(SUBSTITUTE(B609,".",""),"/",""),"-","")," ",""),14))</f>
        <v>26434291000110</v>
      </c>
      <c r="D609" s="5" t="str">
        <f aca="false">IF(C609="","",MID(C609,1,2)&amp;"."&amp;MID(C609,3,3)&amp;"."&amp;MID(C609,6,3)&amp;"/"&amp;MID(C609,9,4)&amp;"-"&amp;MID(C609,13,2))</f>
        <v>26.434.291/0001-10</v>
      </c>
      <c r="E609" s="4" t="str">
        <f aca="false">IF(ISNA(MATCH(A609,cnpj!$A:$A,0)),"Lotação não existe na aba cnpj",IF(B609="","Sem CNPJ na aba cnpj","OK"))</f>
        <v>OK</v>
      </c>
    </row>
    <row r="610" customFormat="false" ht="15" hidden="false" customHeight="false" outlineLevel="0" collapsed="false">
      <c r="A610" s="4" t="n">
        <f aca="false">sisgi!A610</f>
        <v>194522</v>
      </c>
      <c r="B610" s="5" t="str">
        <f aca="false">IFERROR(IF(INDEX(cnpj!$B:$B,MATCH(A610,cnpj!$A:$A,0))="","",INDEX(cnpj!$B:$B,MATCH(A610,cnpj!$A:$A,0))),"")</f>
        <v>28.678.458/0001-13</v>
      </c>
      <c r="C610" s="5" t="str">
        <f aca="false">IF(B610="","",RIGHT("00000000000000"&amp;SUBSTITUTE(SUBSTITUTE(SUBSTITUTE(SUBSTITUTE(B610,".",""),"/",""),"-","")," ",""),14))</f>
        <v>28678458000113</v>
      </c>
      <c r="D610" s="5" t="str">
        <f aca="false">IF(C610="","",MID(C610,1,2)&amp;"."&amp;MID(C610,3,3)&amp;"."&amp;MID(C610,6,3)&amp;"/"&amp;MID(C610,9,4)&amp;"-"&amp;MID(C610,13,2))</f>
        <v>28.678.458/0001-13</v>
      </c>
      <c r="E610" s="4" t="str">
        <f aca="false">IF(ISNA(MATCH(A610,cnpj!$A:$A,0)),"Lotação não existe na aba cnpj",IF(B610="","Sem CNPJ na aba cnpj","OK"))</f>
        <v>OK</v>
      </c>
    </row>
    <row r="611" customFormat="false" ht="15" hidden="false" customHeight="false" outlineLevel="0" collapsed="false">
      <c r="A611" s="4" t="n">
        <f aca="false">sisgi!A611</f>
        <v>194565</v>
      </c>
      <c r="B611" s="5" t="str">
        <f aca="false">IFERROR(IF(INDEX(cnpj!$B:$B,MATCH(A611,cnpj!$A:$A,0))="","",INDEX(cnpj!$B:$B,MATCH(A611,cnpj!$A:$A,0))),"")</f>
        <v>29.815.502/0001-52</v>
      </c>
      <c r="C611" s="5" t="str">
        <f aca="false">IF(B611="","",RIGHT("00000000000000"&amp;SUBSTITUTE(SUBSTITUTE(SUBSTITUTE(SUBSTITUTE(B611,".",""),"/",""),"-","")," ",""),14))</f>
        <v>29815502000152</v>
      </c>
      <c r="D611" s="5" t="str">
        <f aca="false">IF(C611="","",MID(C611,1,2)&amp;"."&amp;MID(C611,3,3)&amp;"."&amp;MID(C611,6,3)&amp;"/"&amp;MID(C611,9,4)&amp;"-"&amp;MID(C611,13,2))</f>
        <v>29.815.502/0001-52</v>
      </c>
      <c r="E611" s="4" t="str">
        <f aca="false">IF(ISNA(MATCH(A611,cnpj!$A:$A,0)),"Lotação não existe na aba cnpj",IF(B611="","Sem CNPJ na aba cnpj","OK"))</f>
        <v>OK</v>
      </c>
    </row>
    <row r="612" customFormat="false" ht="15" hidden="false" customHeight="false" outlineLevel="0" collapsed="false">
      <c r="A612" s="4" t="n">
        <f aca="false">sisgi!A612</f>
        <v>194905</v>
      </c>
      <c r="B612" s="5" t="str">
        <f aca="false">IFERROR(IF(INDEX(cnpj!$B:$B,MATCH(A612,cnpj!$A:$A,0))="","",INDEX(cnpj!$B:$B,MATCH(A612,cnpj!$A:$A,0))),"")</f>
        <v>28.932.717/0001-90</v>
      </c>
      <c r="C612" s="5" t="str">
        <f aca="false">IF(B612="","",RIGHT("00000000000000"&amp;SUBSTITUTE(SUBSTITUTE(SUBSTITUTE(SUBSTITUTE(B612,".",""),"/",""),"-","")," ",""),14))</f>
        <v>28932717000190</v>
      </c>
      <c r="D612" s="5" t="str">
        <f aca="false">IF(C612="","",MID(C612,1,2)&amp;"."&amp;MID(C612,3,3)&amp;"."&amp;MID(C612,6,3)&amp;"/"&amp;MID(C612,9,4)&amp;"-"&amp;MID(C612,13,2))</f>
        <v>28.932.717/0001-90</v>
      </c>
      <c r="E612" s="4" t="str">
        <f aca="false">IF(ISNA(MATCH(A612,cnpj!$A:$A,0)),"Lotação não existe na aba cnpj",IF(B612="","Sem CNPJ na aba cnpj","OK"))</f>
        <v>OK</v>
      </c>
    </row>
    <row r="613" customFormat="false" ht="15" hidden="false" customHeight="false" outlineLevel="0" collapsed="false">
      <c r="A613" s="4" t="n">
        <f aca="false">sisgi!A613</f>
        <v>194921</v>
      </c>
      <c r="B613" s="5" t="str">
        <f aca="false">IFERROR(IF(INDEX(cnpj!$B:$B,MATCH(A613,cnpj!$A:$A,0))="","",INDEX(cnpj!$B:$B,MATCH(A613,cnpj!$A:$A,0))),"")</f>
        <v>28.508.746/0001-20</v>
      </c>
      <c r="C613" s="5" t="str">
        <f aca="false">IF(B613="","",RIGHT("00000000000000"&amp;SUBSTITUTE(SUBSTITUTE(SUBSTITUTE(SUBSTITUTE(B613,".",""),"/",""),"-","")," ",""),14))</f>
        <v>28508746000120</v>
      </c>
      <c r="D613" s="5" t="str">
        <f aca="false">IF(C613="","",MID(C613,1,2)&amp;"."&amp;MID(C613,3,3)&amp;"."&amp;MID(C613,6,3)&amp;"/"&amp;MID(C613,9,4)&amp;"-"&amp;MID(C613,13,2))</f>
        <v>28.508.746/0001-20</v>
      </c>
      <c r="E613" s="4" t="str">
        <f aca="false">IF(ISNA(MATCH(A613,cnpj!$A:$A,0)),"Lotação não existe na aba cnpj",IF(B613="","Sem CNPJ na aba cnpj","OK"))</f>
        <v>OK</v>
      </c>
    </row>
    <row r="614" customFormat="false" ht="15" hidden="false" customHeight="false" outlineLevel="0" collapsed="false">
      <c r="A614" s="4" t="n">
        <f aca="false">sisgi!A614</f>
        <v>194930</v>
      </c>
      <c r="B614" s="5" t="str">
        <f aca="false">IFERROR(IF(INDEX(cnpj!$B:$B,MATCH(A614,cnpj!$A:$A,0))="","",INDEX(cnpj!$B:$B,MATCH(A614,cnpj!$A:$A,0))),"")</f>
        <v>28.270.589/0001-67</v>
      </c>
      <c r="C614" s="5" t="str">
        <f aca="false">IF(B614="","",RIGHT("00000000000000"&amp;SUBSTITUTE(SUBSTITUTE(SUBSTITUTE(SUBSTITUTE(B614,".",""),"/",""),"-","")," ",""),14))</f>
        <v>28270589000167</v>
      </c>
      <c r="D614" s="5" t="str">
        <f aca="false">IF(C614="","",MID(C614,1,2)&amp;"."&amp;MID(C614,3,3)&amp;"."&amp;MID(C614,6,3)&amp;"/"&amp;MID(C614,9,4)&amp;"-"&amp;MID(C614,13,2))</f>
        <v>28.270.589/0001-67</v>
      </c>
      <c r="E614" s="4" t="str">
        <f aca="false">IF(ISNA(MATCH(A614,cnpj!$A:$A,0)),"Lotação não existe na aba cnpj",IF(B614="","Sem CNPJ na aba cnpj","OK"))</f>
        <v>OK</v>
      </c>
    </row>
    <row r="615" customFormat="false" ht="15" hidden="false" customHeight="false" outlineLevel="0" collapsed="false">
      <c r="A615" s="4" t="n">
        <f aca="false">sisgi!A615</f>
        <v>194948</v>
      </c>
      <c r="B615" s="5" t="str">
        <f aca="false">IFERROR(IF(INDEX(cnpj!$B:$B,MATCH(A615,cnpj!$A:$A,0))="","",INDEX(cnpj!$B:$B,MATCH(A615,cnpj!$A:$A,0))),"")</f>
        <v>28.874.483/0001-72</v>
      </c>
      <c r="C615" s="5" t="str">
        <f aca="false">IF(B615="","",RIGHT("00000000000000"&amp;SUBSTITUTE(SUBSTITUTE(SUBSTITUTE(SUBSTITUTE(B615,".",""),"/",""),"-","")," ",""),14))</f>
        <v>28874483000172</v>
      </c>
      <c r="D615" s="5" t="str">
        <f aca="false">IF(C615="","",MID(C615,1,2)&amp;"."&amp;MID(C615,3,3)&amp;"."&amp;MID(C615,6,3)&amp;"/"&amp;MID(C615,9,4)&amp;"-"&amp;MID(C615,13,2))</f>
        <v>28.874.483/0001-72</v>
      </c>
      <c r="E615" s="4" t="str">
        <f aca="false">IF(ISNA(MATCH(A615,cnpj!$A:$A,0)),"Lotação não existe na aba cnpj",IF(B615="","Sem CNPJ na aba cnpj","OK"))</f>
        <v>OK</v>
      </c>
    </row>
    <row r="616" customFormat="false" ht="15" hidden="false" customHeight="false" outlineLevel="0" collapsed="false">
      <c r="A616" s="4" t="n">
        <f aca="false">sisgi!A616</f>
        <v>196495</v>
      </c>
      <c r="B616" s="5" t="str">
        <f aca="false">IFERROR(IF(INDEX(cnpj!$B:$B,MATCH(A616,cnpj!$A:$A,0))="","",INDEX(cnpj!$B:$B,MATCH(A616,cnpj!$A:$A,0))),"")</f>
        <v>35.335.373/0001-06</v>
      </c>
      <c r="C616" s="5" t="str">
        <f aca="false">IF(B616="","",RIGHT("00000000000000"&amp;SUBSTITUTE(SUBSTITUTE(SUBSTITUTE(SUBSTITUTE(B616,".",""),"/",""),"-","")," ",""),14))</f>
        <v>35335373000106</v>
      </c>
      <c r="D616" s="5" t="str">
        <f aca="false">IF(C616="","",MID(C616,1,2)&amp;"."&amp;MID(C616,3,3)&amp;"."&amp;MID(C616,6,3)&amp;"/"&amp;MID(C616,9,4)&amp;"-"&amp;MID(C616,13,2))</f>
        <v>35.335.373/0001-06</v>
      </c>
      <c r="E616" s="4" t="str">
        <f aca="false">IF(ISNA(MATCH(A616,cnpj!$A:$A,0)),"Lotação não existe na aba cnpj",IF(B616="","Sem CNPJ na aba cnpj","OK"))</f>
        <v>OK</v>
      </c>
    </row>
    <row r="617" customFormat="false" ht="15" hidden="false" customHeight="false" outlineLevel="0" collapsed="false">
      <c r="A617" s="4" t="n">
        <f aca="false">sisgi!A617</f>
        <v>196509</v>
      </c>
      <c r="B617" s="5" t="str">
        <f aca="false">IFERROR(IF(INDEX(cnpj!$B:$B,MATCH(A617,cnpj!$A:$A,0))="","",INDEX(cnpj!$B:$B,MATCH(A617,cnpj!$A:$A,0))),"")</f>
        <v>35.039.806/0001-78</v>
      </c>
      <c r="C617" s="5" t="str">
        <f aca="false">IF(B617="","",RIGHT("00000000000000"&amp;SUBSTITUTE(SUBSTITUTE(SUBSTITUTE(SUBSTITUTE(B617,".",""),"/",""),"-","")," ",""),14))</f>
        <v>35039806000178</v>
      </c>
      <c r="D617" s="5" t="str">
        <f aca="false">IF(C617="","",MID(C617,1,2)&amp;"."&amp;MID(C617,3,3)&amp;"."&amp;MID(C617,6,3)&amp;"/"&amp;MID(C617,9,4)&amp;"-"&amp;MID(C617,13,2))</f>
        <v>35.039.806/0001-78</v>
      </c>
      <c r="E617" s="4" t="str">
        <f aca="false">IF(ISNA(MATCH(A617,cnpj!$A:$A,0)),"Lotação não existe na aba cnpj",IF(B617="","Sem CNPJ na aba cnpj","OK"))</f>
        <v>OK</v>
      </c>
    </row>
    <row r="618" customFormat="false" ht="15" hidden="false" customHeight="false" outlineLevel="0" collapsed="false">
      <c r="A618" s="4" t="n">
        <f aca="false">sisgi!A618</f>
        <v>197297</v>
      </c>
      <c r="B618" s="5" t="str">
        <f aca="false">IFERROR(IF(INDEX(cnpj!$B:$B,MATCH(A618,cnpj!$A:$A,0))="","",INDEX(cnpj!$B:$B,MATCH(A618,cnpj!$A:$A,0))),"")</f>
        <v>33.145.825/0001-53</v>
      </c>
      <c r="C618" s="5" t="str">
        <f aca="false">IF(B618="","",RIGHT("00000000000000"&amp;SUBSTITUTE(SUBSTITUTE(SUBSTITUTE(SUBSTITUTE(B618,".",""),"/",""),"-","")," ",""),14))</f>
        <v>33145825000153</v>
      </c>
      <c r="D618" s="5" t="str">
        <f aca="false">IF(C618="","",MID(C618,1,2)&amp;"."&amp;MID(C618,3,3)&amp;"."&amp;MID(C618,6,3)&amp;"/"&amp;MID(C618,9,4)&amp;"-"&amp;MID(C618,13,2))</f>
        <v>33.145.825/0001-53</v>
      </c>
      <c r="E618" s="4" t="str">
        <f aca="false">IF(ISNA(MATCH(A618,cnpj!$A:$A,0)),"Lotação não existe na aba cnpj",IF(B618="","Sem CNPJ na aba cnpj","OK"))</f>
        <v>OK</v>
      </c>
    </row>
    <row r="619" customFormat="false" ht="15" hidden="false" customHeight="false" outlineLevel="0" collapsed="false">
      <c r="A619" s="4" t="n">
        <f aca="false">sisgi!A619</f>
        <v>197300</v>
      </c>
      <c r="B619" s="5" t="str">
        <f aca="false">IFERROR(IF(INDEX(cnpj!$B:$B,MATCH(A619,cnpj!$A:$A,0))="","",INDEX(cnpj!$B:$B,MATCH(A619,cnpj!$A:$A,0))),"")</f>
        <v>32.992.198/0001-23</v>
      </c>
      <c r="C619" s="5" t="str">
        <f aca="false">IF(B619="","",RIGHT("00000000000000"&amp;SUBSTITUTE(SUBSTITUTE(SUBSTITUTE(SUBSTITUTE(B619,".",""),"/",""),"-","")," ",""),14))</f>
        <v>32992198000123</v>
      </c>
      <c r="D619" s="5" t="str">
        <f aca="false">IF(C619="","",MID(C619,1,2)&amp;"."&amp;MID(C619,3,3)&amp;"."&amp;MID(C619,6,3)&amp;"/"&amp;MID(C619,9,4)&amp;"-"&amp;MID(C619,13,2))</f>
        <v>32.992.198/0001-23</v>
      </c>
      <c r="E619" s="4" t="str">
        <f aca="false">IF(ISNA(MATCH(A619,cnpj!$A:$A,0)),"Lotação não existe na aba cnpj",IF(B619="","Sem CNPJ na aba cnpj","OK"))</f>
        <v>OK</v>
      </c>
    </row>
    <row r="620" customFormat="false" ht="15" hidden="false" customHeight="false" outlineLevel="0" collapsed="false">
      <c r="A620" s="4" t="n">
        <f aca="false">sisgi!A620</f>
        <v>198226</v>
      </c>
      <c r="B620" s="5" t="str">
        <f aca="false">IFERROR(IF(INDEX(cnpj!$B:$B,MATCH(A620,cnpj!$A:$A,0))="","",INDEX(cnpj!$B:$B,MATCH(A620,cnpj!$A:$A,0))),"")</f>
        <v>33.269.130/0001-83</v>
      </c>
      <c r="C620" s="5" t="str">
        <f aca="false">IF(B620="","",RIGHT("00000000000000"&amp;SUBSTITUTE(SUBSTITUTE(SUBSTITUTE(SUBSTITUTE(B620,".",""),"/",""),"-","")," ",""),14))</f>
        <v>33269130000183</v>
      </c>
      <c r="D620" s="5" t="str">
        <f aca="false">IF(C620="","",MID(C620,1,2)&amp;"."&amp;MID(C620,3,3)&amp;"."&amp;MID(C620,6,3)&amp;"/"&amp;MID(C620,9,4)&amp;"-"&amp;MID(C620,13,2))</f>
        <v>33.269.130/0001-83</v>
      </c>
      <c r="E620" s="4" t="str">
        <f aca="false">IF(ISNA(MATCH(A620,cnpj!$A:$A,0)),"Lotação não existe na aba cnpj",IF(B620="","Sem CNPJ na aba cnpj","OK"))</f>
        <v>OK</v>
      </c>
    </row>
    <row r="621" customFormat="false" ht="15" hidden="false" customHeight="false" outlineLevel="0" collapsed="false">
      <c r="A621" s="4" t="n">
        <f aca="false">sisgi!A621</f>
        <v>212431</v>
      </c>
      <c r="B621" s="5" t="str">
        <f aca="false">IFERROR(IF(INDEX(cnpj!$B:$B,MATCH(A621,cnpj!$A:$A,0))="","",INDEX(cnpj!$B:$B,MATCH(A621,cnpj!$A:$A,0))),"")</f>
        <v>45.123.301/0001-40</v>
      </c>
      <c r="C621" s="5" t="str">
        <f aca="false">IF(B621="","",RIGHT("00000000000000"&amp;SUBSTITUTE(SUBSTITUTE(SUBSTITUTE(SUBSTITUTE(B621,".",""),"/",""),"-","")," ",""),14))</f>
        <v>45123301000140</v>
      </c>
      <c r="D621" s="5" t="str">
        <f aca="false">IF(C621="","",MID(C621,1,2)&amp;"."&amp;MID(C621,3,3)&amp;"."&amp;MID(C621,6,3)&amp;"/"&amp;MID(C621,9,4)&amp;"-"&amp;MID(C621,13,2))</f>
        <v>45.123.301/0001-40</v>
      </c>
      <c r="E621" s="4" t="str">
        <f aca="false">IF(ISNA(MATCH(A621,cnpj!$A:$A,0)),"Lotação não existe na aba cnpj",IF(B621="","Sem CNPJ na aba cnpj","OK"))</f>
        <v>OK</v>
      </c>
    </row>
    <row r="622" customFormat="false" ht="15" hidden="false" customHeight="false" outlineLevel="0" collapsed="false">
      <c r="A622" s="4" t="n">
        <f aca="false">sisgi!A622</f>
        <v>212440</v>
      </c>
      <c r="B622" s="5" t="str">
        <f aca="false">IFERROR(IF(INDEX(cnpj!$B:$B,MATCH(A622,cnpj!$A:$A,0))="","",INDEX(cnpj!$B:$B,MATCH(A622,cnpj!$A:$A,0))),"")</f>
        <v>45.227.254/0001-85</v>
      </c>
      <c r="C622" s="5" t="str">
        <f aca="false">IF(B622="","",RIGHT("00000000000000"&amp;SUBSTITUTE(SUBSTITUTE(SUBSTITUTE(SUBSTITUTE(B622,".",""),"/",""),"-","")," ",""),14))</f>
        <v>45227254000185</v>
      </c>
      <c r="D622" s="5" t="str">
        <f aca="false">IF(C622="","",MID(C622,1,2)&amp;"."&amp;MID(C622,3,3)&amp;"."&amp;MID(C622,6,3)&amp;"/"&amp;MID(C622,9,4)&amp;"-"&amp;MID(C622,13,2))</f>
        <v>45.227.254/0001-85</v>
      </c>
      <c r="E622" s="4" t="str">
        <f aca="false">IF(ISNA(MATCH(A622,cnpj!$A:$A,0)),"Lotação não existe na aba cnpj",IF(B622="","Sem CNPJ na aba cnpj","OK"))</f>
        <v>OK</v>
      </c>
    </row>
    <row r="623" customFormat="false" ht="15" hidden="false" customHeight="false" outlineLevel="0" collapsed="false">
      <c r="A623" s="4" t="n">
        <f aca="false">sisgi!A623</f>
        <v>212474</v>
      </c>
      <c r="B623" s="5" t="str">
        <f aca="false">IFERROR(IF(INDEX(cnpj!$B:$B,MATCH(A623,cnpj!$A:$A,0))="","",INDEX(cnpj!$B:$B,MATCH(A623,cnpj!$A:$A,0))),"")</f>
        <v>41.457.191/0001-00</v>
      </c>
      <c r="C623" s="5" t="str">
        <f aca="false">IF(B623="","",RIGHT("00000000000000"&amp;SUBSTITUTE(SUBSTITUTE(SUBSTITUTE(SUBSTITUTE(B623,".",""),"/",""),"-","")," ",""),14))</f>
        <v>41457191000100</v>
      </c>
      <c r="D623" s="5" t="str">
        <f aca="false">IF(C623="","",MID(C623,1,2)&amp;"."&amp;MID(C623,3,3)&amp;"."&amp;MID(C623,6,3)&amp;"/"&amp;MID(C623,9,4)&amp;"-"&amp;MID(C623,13,2))</f>
        <v>41.457.191/0001-00</v>
      </c>
      <c r="E623" s="4" t="str">
        <f aca="false">IF(ISNA(MATCH(A623,cnpj!$A:$A,0)),"Lotação não existe na aba cnpj",IF(B623="","Sem CNPJ na aba cnpj","OK"))</f>
        <v>OK</v>
      </c>
    </row>
    <row r="624" customFormat="false" ht="15" hidden="false" customHeight="false" outlineLevel="0" collapsed="false">
      <c r="A624" s="4" t="n">
        <f aca="false">sisgi!A624</f>
        <v>212482</v>
      </c>
      <c r="B624" s="5" t="str">
        <f aca="false">IFERROR(IF(INDEX(cnpj!$B:$B,MATCH(A624,cnpj!$A:$A,0))="","",INDEX(cnpj!$B:$B,MATCH(A624,cnpj!$A:$A,0))),"")</f>
        <v>40.937.331/0001-77</v>
      </c>
      <c r="C624" s="5" t="str">
        <f aca="false">IF(B624="","",RIGHT("00000000000000"&amp;SUBSTITUTE(SUBSTITUTE(SUBSTITUTE(SUBSTITUTE(B624,".",""),"/",""),"-","")," ",""),14))</f>
        <v>40937331000177</v>
      </c>
      <c r="D624" s="5" t="str">
        <f aca="false">IF(C624="","",MID(C624,1,2)&amp;"."&amp;MID(C624,3,3)&amp;"."&amp;MID(C624,6,3)&amp;"/"&amp;MID(C624,9,4)&amp;"-"&amp;MID(C624,13,2))</f>
        <v>40.937.331/0001-77</v>
      </c>
      <c r="E624" s="4" t="str">
        <f aca="false">IF(ISNA(MATCH(A624,cnpj!$A:$A,0)),"Lotação não existe na aba cnpj",IF(B624="","Sem CNPJ na aba cnpj","OK"))</f>
        <v>OK</v>
      </c>
    </row>
    <row r="625" customFormat="false" ht="15" hidden="false" customHeight="false" outlineLevel="0" collapsed="false">
      <c r="A625" s="4" t="n">
        <f aca="false">sisgi!A625</f>
        <v>212490</v>
      </c>
      <c r="B625" s="5" t="str">
        <f aca="false">IFERROR(IF(INDEX(cnpj!$B:$B,MATCH(A625,cnpj!$A:$A,0))="","",INDEX(cnpj!$B:$B,MATCH(A625,cnpj!$A:$A,0))),"")</f>
        <v>42.102.856/0001-18</v>
      </c>
      <c r="C625" s="5" t="str">
        <f aca="false">IF(B625="","",RIGHT("00000000000000"&amp;SUBSTITUTE(SUBSTITUTE(SUBSTITUTE(SUBSTITUTE(B625,".",""),"/",""),"-","")," ",""),14))</f>
        <v>42102856000118</v>
      </c>
      <c r="D625" s="5" t="str">
        <f aca="false">IF(C625="","",MID(C625,1,2)&amp;"."&amp;MID(C625,3,3)&amp;"."&amp;MID(C625,6,3)&amp;"/"&amp;MID(C625,9,4)&amp;"-"&amp;MID(C625,13,2))</f>
        <v>42.102.856/0001-18</v>
      </c>
      <c r="E625" s="4" t="str">
        <f aca="false">IF(ISNA(MATCH(A625,cnpj!$A:$A,0)),"Lotação não existe na aba cnpj",IF(B625="","Sem CNPJ na aba cnpj","OK"))</f>
        <v>OK</v>
      </c>
    </row>
    <row r="626" customFormat="false" ht="15" hidden="false" customHeight="false" outlineLevel="0" collapsed="false">
      <c r="A626" s="4" t="n">
        <f aca="false">sisgi!A626</f>
        <v>212504</v>
      </c>
      <c r="B626" s="5" t="str">
        <f aca="false">IFERROR(IF(INDEX(cnpj!$B:$B,MATCH(A626,cnpj!$A:$A,0))="","",INDEX(cnpj!$B:$B,MATCH(A626,cnpj!$A:$A,0))),"")</f>
        <v>41.363.880/0001-48</v>
      </c>
      <c r="C626" s="5" t="str">
        <f aca="false">IF(B626="","",RIGHT("00000000000000"&amp;SUBSTITUTE(SUBSTITUTE(SUBSTITUTE(SUBSTITUTE(B626,".",""),"/",""),"-","")," ",""),14))</f>
        <v>41363880000148</v>
      </c>
      <c r="D626" s="5" t="str">
        <f aca="false">IF(C626="","",MID(C626,1,2)&amp;"."&amp;MID(C626,3,3)&amp;"."&amp;MID(C626,6,3)&amp;"/"&amp;MID(C626,9,4)&amp;"-"&amp;MID(C626,13,2))</f>
        <v>41.363.880/0001-48</v>
      </c>
      <c r="E626" s="4" t="str">
        <f aca="false">IF(ISNA(MATCH(A626,cnpj!$A:$A,0)),"Lotação não existe na aba cnpj",IF(B626="","Sem CNPJ na aba cnpj","OK"))</f>
        <v>OK</v>
      </c>
    </row>
    <row r="627" customFormat="false" ht="15" hidden="false" customHeight="false" outlineLevel="0" collapsed="false">
      <c r="A627" s="4" t="n">
        <f aca="false">sisgi!A627</f>
        <v>212512</v>
      </c>
      <c r="B627" s="5" t="str">
        <f aca="false">IFERROR(IF(INDEX(cnpj!$B:$B,MATCH(A627,cnpj!$A:$A,0))="","",INDEX(cnpj!$B:$B,MATCH(A627,cnpj!$A:$A,0))),"")</f>
        <v>46.090.137/0001-85</v>
      </c>
      <c r="C627" s="5" t="str">
        <f aca="false">IF(B627="","",RIGHT("00000000000000"&amp;SUBSTITUTE(SUBSTITUTE(SUBSTITUTE(SUBSTITUTE(B627,".",""),"/",""),"-","")," ",""),14))</f>
        <v>46090137000185</v>
      </c>
      <c r="D627" s="5" t="str">
        <f aca="false">IF(C627="","",MID(C627,1,2)&amp;"."&amp;MID(C627,3,3)&amp;"."&amp;MID(C627,6,3)&amp;"/"&amp;MID(C627,9,4)&amp;"-"&amp;MID(C627,13,2))</f>
        <v>46.090.137/0001-85</v>
      </c>
      <c r="E627" s="4" t="str">
        <f aca="false">IF(ISNA(MATCH(A627,cnpj!$A:$A,0)),"Lotação não existe na aba cnpj",IF(B627="","Sem CNPJ na aba cnpj","OK"))</f>
        <v>OK</v>
      </c>
    </row>
    <row r="628" customFormat="false" ht="15" hidden="false" customHeight="false" outlineLevel="0" collapsed="false">
      <c r="A628" s="4" t="n">
        <f aca="false">sisgi!A628</f>
        <v>213454</v>
      </c>
      <c r="B628" s="5" t="str">
        <f aca="false">IFERROR(IF(INDEX(cnpj!$B:$B,MATCH(A628,cnpj!$A:$A,0))="","",INDEX(cnpj!$B:$B,MATCH(A628,cnpj!$A:$A,0))),"")</f>
        <v>41.929.088/0001-08</v>
      </c>
      <c r="C628" s="5" t="str">
        <f aca="false">IF(B628="","",RIGHT("00000000000000"&amp;SUBSTITUTE(SUBSTITUTE(SUBSTITUTE(SUBSTITUTE(B628,".",""),"/",""),"-","")," ",""),14))</f>
        <v>41929088000108</v>
      </c>
      <c r="D628" s="5" t="str">
        <f aca="false">IF(C628="","",MID(C628,1,2)&amp;"."&amp;MID(C628,3,3)&amp;"."&amp;MID(C628,6,3)&amp;"/"&amp;MID(C628,9,4)&amp;"-"&amp;MID(C628,13,2))</f>
        <v>41.929.088/0001-08</v>
      </c>
      <c r="E628" s="4" t="str">
        <f aca="false">IF(ISNA(MATCH(A628,cnpj!$A:$A,0)),"Lotação não existe na aba cnpj",IF(B628="","Sem CNPJ na aba cnpj","OK"))</f>
        <v>OK</v>
      </c>
    </row>
    <row r="629" customFormat="false" ht="15" hidden="false" customHeight="false" outlineLevel="0" collapsed="false">
      <c r="A629" s="4" t="n">
        <f aca="false">sisgi!A629</f>
        <v>213462</v>
      </c>
      <c r="B629" s="5" t="str">
        <f aca="false">IFERROR(IF(INDEX(cnpj!$B:$B,MATCH(A629,cnpj!$A:$A,0))="","",INDEX(cnpj!$B:$B,MATCH(A629,cnpj!$A:$A,0))),"")</f>
        <v>41.003.506/0001-31</v>
      </c>
      <c r="C629" s="5" t="str">
        <f aca="false">IF(B629="","",RIGHT("00000000000000"&amp;SUBSTITUTE(SUBSTITUTE(SUBSTITUTE(SUBSTITUTE(B629,".",""),"/",""),"-","")," ",""),14))</f>
        <v>41003506000131</v>
      </c>
      <c r="D629" s="5" t="str">
        <f aca="false">IF(C629="","",MID(C629,1,2)&amp;"."&amp;MID(C629,3,3)&amp;"."&amp;MID(C629,6,3)&amp;"/"&amp;MID(C629,9,4)&amp;"-"&amp;MID(C629,13,2))</f>
        <v>41.003.506/0001-31</v>
      </c>
      <c r="E629" s="4" t="str">
        <f aca="false">IF(ISNA(MATCH(A629,cnpj!$A:$A,0)),"Lotação não existe na aba cnpj",IF(B629="","Sem CNPJ na aba cnpj","OK"))</f>
        <v>OK</v>
      </c>
    </row>
    <row r="630" customFormat="false" ht="15" hidden="false" customHeight="false" outlineLevel="0" collapsed="false">
      <c r="A630" s="4" t="n">
        <f aca="false">sisgi!A630</f>
        <v>214159</v>
      </c>
      <c r="B630" s="5" t="str">
        <f aca="false">IFERROR(IF(INDEX(cnpj!$B:$B,MATCH(A630,cnpj!$A:$A,0))="","",INDEX(cnpj!$B:$B,MATCH(A630,cnpj!$A:$A,0))),"")</f>
        <v>44.186.501/0001-80</v>
      </c>
      <c r="C630" s="5" t="str">
        <f aca="false">IF(B630="","",RIGHT("00000000000000"&amp;SUBSTITUTE(SUBSTITUTE(SUBSTITUTE(SUBSTITUTE(B630,".",""),"/",""),"-","")," ",""),14))</f>
        <v>44186501000180</v>
      </c>
      <c r="D630" s="5" t="str">
        <f aca="false">IF(C630="","",MID(C630,1,2)&amp;"."&amp;MID(C630,3,3)&amp;"."&amp;MID(C630,6,3)&amp;"/"&amp;MID(C630,9,4)&amp;"-"&amp;MID(C630,13,2))</f>
        <v>44.186.501/0001-80</v>
      </c>
      <c r="E630" s="4" t="str">
        <f aca="false">IF(ISNA(MATCH(A630,cnpj!$A:$A,0)),"Lotação não existe na aba cnpj",IF(B630="","Sem CNPJ na aba cnpj","OK"))</f>
        <v>OK</v>
      </c>
    </row>
    <row r="631" customFormat="false" ht="15" hidden="false" customHeight="false" outlineLevel="0" collapsed="false">
      <c r="A631" s="4" t="n">
        <f aca="false">sisgi!A631</f>
        <v>214590</v>
      </c>
      <c r="B631" s="5" t="str">
        <f aca="false">IFERROR(IF(INDEX(cnpj!$B:$B,MATCH(A631,cnpj!$A:$A,0))="","",INDEX(cnpj!$B:$B,MATCH(A631,cnpj!$A:$A,0))),"")</f>
        <v>47.049.818/0001-62</v>
      </c>
      <c r="C631" s="5" t="str">
        <f aca="false">IF(B631="","",RIGHT("00000000000000"&amp;SUBSTITUTE(SUBSTITUTE(SUBSTITUTE(SUBSTITUTE(B631,".",""),"/",""),"-","")," ",""),14))</f>
        <v>47049818000162</v>
      </c>
      <c r="D631" s="5" t="str">
        <f aca="false">IF(C631="","",MID(C631,1,2)&amp;"."&amp;MID(C631,3,3)&amp;"."&amp;MID(C631,6,3)&amp;"/"&amp;MID(C631,9,4)&amp;"-"&amp;MID(C631,13,2))</f>
        <v>47.049.818/0001-62</v>
      </c>
      <c r="E631" s="4" t="str">
        <f aca="false">IF(ISNA(MATCH(A631,cnpj!$A:$A,0)),"Lotação não existe na aba cnpj",IF(B631="","Sem CNPJ na aba cnpj","OK"))</f>
        <v>OK</v>
      </c>
    </row>
    <row r="632" customFormat="false" ht="15" hidden="false" customHeight="false" outlineLevel="0" collapsed="false">
      <c r="A632" s="4" t="n">
        <f aca="false">sisgi!A632</f>
        <v>215058</v>
      </c>
      <c r="B632" s="5" t="n">
        <f aca="false">IFERROR(IF(INDEX(cnpj!$B:$B,MATCH(A632,cnpj!$A:$A,0))="","",INDEX(cnpj!$B:$B,MATCH(A632,cnpj!$A:$A,0))),"")</f>
        <v>2923347000131</v>
      </c>
      <c r="C632" s="5" t="str">
        <f aca="false">IF(B632="","",RIGHT("00000000000000"&amp;SUBSTITUTE(SUBSTITUTE(SUBSTITUTE(SUBSTITUTE(B632,".",""),"/",""),"-","")," ",""),14))</f>
        <v>02923347000131</v>
      </c>
      <c r="D632" s="5" t="str">
        <f aca="false">IF(C632="","",MID(C632,1,2)&amp;"."&amp;MID(C632,3,3)&amp;"."&amp;MID(C632,6,3)&amp;"/"&amp;MID(C632,9,4)&amp;"-"&amp;MID(C632,13,2))</f>
        <v>02.923.347/0001-31</v>
      </c>
      <c r="E632" s="4" t="str">
        <f aca="false">IF(ISNA(MATCH(A632,cnpj!$A:$A,0)),"Lotação não existe na aba cnpj",IF(B632="","Sem CNPJ na aba cnpj","OK"))</f>
        <v>OK</v>
      </c>
    </row>
    <row r="633" customFormat="false" ht="15" hidden="false" customHeight="false" outlineLevel="0" collapsed="false">
      <c r="A633" s="4" t="n">
        <f aca="false">sisgi!A633</f>
        <v>215139</v>
      </c>
      <c r="B633" s="5" t="n">
        <f aca="false">IFERROR(IF(INDEX(cnpj!$B:$B,MATCH(A633,cnpj!$A:$A,0))="","",INDEX(cnpj!$B:$B,MATCH(A633,cnpj!$A:$A,0))),"")</f>
        <v>3264299000180</v>
      </c>
      <c r="C633" s="5" t="str">
        <f aca="false">IF(B633="","",RIGHT("00000000000000"&amp;SUBSTITUTE(SUBSTITUTE(SUBSTITUTE(SUBSTITUTE(B633,".",""),"/",""),"-","")," ",""),14))</f>
        <v>03264299000180</v>
      </c>
      <c r="D633" s="5" t="str">
        <f aca="false">IF(C633="","",MID(C633,1,2)&amp;"."&amp;MID(C633,3,3)&amp;"."&amp;MID(C633,6,3)&amp;"/"&amp;MID(C633,9,4)&amp;"-"&amp;MID(C633,13,2))</f>
        <v>03.264.299/0001-80</v>
      </c>
      <c r="E633" s="4" t="str">
        <f aca="false">IF(ISNA(MATCH(A633,cnpj!$A:$A,0)),"Lotação não existe na aba cnpj",IF(B633="","Sem CNPJ na aba cnpj","OK"))</f>
        <v>OK</v>
      </c>
    </row>
    <row r="634" customFormat="false" ht="15" hidden="false" customHeight="false" outlineLevel="0" collapsed="false">
      <c r="A634" s="4" t="n">
        <f aca="false">sisgi!A634</f>
        <v>215210</v>
      </c>
      <c r="B634" s="5" t="n">
        <f aca="false">IFERROR(IF(INDEX(cnpj!$B:$B,MATCH(A634,cnpj!$A:$A,0))="","",INDEX(cnpj!$B:$B,MATCH(A634,cnpj!$A:$A,0))),"")</f>
        <v>3102716000198</v>
      </c>
      <c r="C634" s="5" t="str">
        <f aca="false">IF(B634="","",RIGHT("00000000000000"&amp;SUBSTITUTE(SUBSTITUTE(SUBSTITUTE(SUBSTITUTE(B634,".",""),"/",""),"-","")," ",""),14))</f>
        <v>03102716000198</v>
      </c>
      <c r="D634" s="5" t="str">
        <f aca="false">IF(C634="","",MID(C634,1,2)&amp;"."&amp;MID(C634,3,3)&amp;"."&amp;MID(C634,6,3)&amp;"/"&amp;MID(C634,9,4)&amp;"-"&amp;MID(C634,13,2))</f>
        <v>03.102.716/0001-98</v>
      </c>
      <c r="E634" s="4" t="str">
        <f aca="false">IF(ISNA(MATCH(A634,cnpj!$A:$A,0)),"Lotação não existe na aba cnpj",IF(B634="","Sem CNPJ na aba cnpj","OK"))</f>
        <v>OK</v>
      </c>
    </row>
    <row r="635" customFormat="false" ht="15" hidden="false" customHeight="false" outlineLevel="0" collapsed="false">
      <c r="A635" s="4" t="n">
        <f aca="false">sisgi!A635</f>
        <v>215295</v>
      </c>
      <c r="B635" s="5" t="n">
        <f aca="false">IFERROR(IF(INDEX(cnpj!$B:$B,MATCH(A635,cnpj!$A:$A,0))="","",INDEX(cnpj!$B:$B,MATCH(A635,cnpj!$A:$A,0))),"")</f>
        <v>3231490000125</v>
      </c>
      <c r="C635" s="5" t="str">
        <f aca="false">IF(B635="","",RIGHT("00000000000000"&amp;SUBSTITUTE(SUBSTITUTE(SUBSTITUTE(SUBSTITUTE(B635,".",""),"/",""),"-","")," ",""),14))</f>
        <v>03231490000125</v>
      </c>
      <c r="D635" s="5" t="str">
        <f aca="false">IF(C635="","",MID(C635,1,2)&amp;"."&amp;MID(C635,3,3)&amp;"."&amp;MID(C635,6,3)&amp;"/"&amp;MID(C635,9,4)&amp;"-"&amp;MID(C635,13,2))</f>
        <v>03.231.490/0001-25</v>
      </c>
      <c r="E635" s="4" t="str">
        <f aca="false">IF(ISNA(MATCH(A635,cnpj!$A:$A,0)),"Lotação não existe na aba cnpj",IF(B635="","Sem CNPJ na aba cnpj","OK"))</f>
        <v>OK</v>
      </c>
    </row>
    <row r="636" customFormat="false" ht="15" hidden="false" customHeight="false" outlineLevel="0" collapsed="false">
      <c r="A636" s="4" t="n">
        <f aca="false">sisgi!A636</f>
        <v>215376</v>
      </c>
      <c r="B636" s="5" t="str">
        <f aca="false">IFERROR(IF(INDEX(cnpj!$B:$B,MATCH(A636,cnpj!$A:$A,0))="","",INDEX(cnpj!$B:$B,MATCH(A636,cnpj!$A:$A,0))),"")</f>
        <v>04560246/0001-79</v>
      </c>
      <c r="C636" s="5" t="str">
        <f aca="false">IF(B636="","",RIGHT("00000000000000"&amp;SUBSTITUTE(SUBSTITUTE(SUBSTITUTE(SUBSTITUTE(B636,".",""),"/",""),"-","")," ",""),14))</f>
        <v>04560246000179</v>
      </c>
      <c r="D636" s="5" t="str">
        <f aca="false">IF(C636="","",MID(C636,1,2)&amp;"."&amp;MID(C636,3,3)&amp;"."&amp;MID(C636,6,3)&amp;"/"&amp;MID(C636,9,4)&amp;"-"&amp;MID(C636,13,2))</f>
        <v>04.560.246/0001-79</v>
      </c>
      <c r="E636" s="4" t="str">
        <f aca="false">IF(ISNA(MATCH(A636,cnpj!$A:$A,0)),"Lotação não existe na aba cnpj",IF(B636="","Sem CNPJ na aba cnpj","OK"))</f>
        <v>OK</v>
      </c>
    </row>
    <row r="637" customFormat="false" ht="15" hidden="false" customHeight="false" outlineLevel="0" collapsed="false">
      <c r="A637" s="4" t="n">
        <f aca="false">sisgi!A637</f>
        <v>215457</v>
      </c>
      <c r="B637" s="5" t="n">
        <f aca="false">IFERROR(IF(INDEX(cnpj!$B:$B,MATCH(A637,cnpj!$A:$A,0))="","",INDEX(cnpj!$B:$B,MATCH(A637,cnpj!$A:$A,0))),"")</f>
        <v>2990725000108</v>
      </c>
      <c r="C637" s="5" t="str">
        <f aca="false">IF(B637="","",RIGHT("00000000000000"&amp;SUBSTITUTE(SUBSTITUTE(SUBSTITUTE(SUBSTITUTE(B637,".",""),"/",""),"-","")," ",""),14))</f>
        <v>02990725000108</v>
      </c>
      <c r="D637" s="5" t="str">
        <f aca="false">IF(C637="","",MID(C637,1,2)&amp;"."&amp;MID(C637,3,3)&amp;"."&amp;MID(C637,6,3)&amp;"/"&amp;MID(C637,9,4)&amp;"-"&amp;MID(C637,13,2))</f>
        <v>02.990.725/0001-08</v>
      </c>
      <c r="E637" s="4" t="str">
        <f aca="false">IF(ISNA(MATCH(A637,cnpj!$A:$A,0)),"Lotação não existe na aba cnpj",IF(B637="","Sem CNPJ na aba cnpj","OK"))</f>
        <v>OK</v>
      </c>
    </row>
    <row r="638" customFormat="false" ht="15" hidden="false" customHeight="false" outlineLevel="0" collapsed="false">
      <c r="A638" s="4" t="n">
        <f aca="false">sisgi!A638</f>
        <v>215538</v>
      </c>
      <c r="B638" s="5" t="n">
        <f aca="false">IFERROR(IF(INDEX(cnpj!$B:$B,MATCH(A638,cnpj!$A:$A,0))="","",INDEX(cnpj!$B:$B,MATCH(A638,cnpj!$A:$A,0))),"")</f>
        <v>3186649000137</v>
      </c>
      <c r="C638" s="5" t="str">
        <f aca="false">IF(B638="","",RIGHT("00000000000000"&amp;SUBSTITUTE(SUBSTITUTE(SUBSTITUTE(SUBSTITUTE(B638,".",""),"/",""),"-","")," ",""),14))</f>
        <v>03186649000137</v>
      </c>
      <c r="D638" s="5" t="str">
        <f aca="false">IF(C638="","",MID(C638,1,2)&amp;"."&amp;MID(C638,3,3)&amp;"."&amp;MID(C638,6,3)&amp;"/"&amp;MID(C638,9,4)&amp;"-"&amp;MID(C638,13,2))</f>
        <v>03.186.649/0001-37</v>
      </c>
      <c r="E638" s="4" t="str">
        <f aca="false">IF(ISNA(MATCH(A638,cnpj!$A:$A,0)),"Lotação não existe na aba cnpj",IF(B638="","Sem CNPJ na aba cnpj","OK"))</f>
        <v>OK</v>
      </c>
    </row>
    <row r="639" customFormat="false" ht="15" hidden="false" customHeight="false" outlineLevel="0" collapsed="false">
      <c r="A639" s="4" t="n">
        <f aca="false">sisgi!A639</f>
        <v>215619</v>
      </c>
      <c r="B639" s="5" t="str">
        <f aca="false">IFERROR(IF(INDEX(cnpj!$B:$B,MATCH(A639,cnpj!$A:$A,0))="","",INDEX(cnpj!$B:$B,MATCH(A639,cnpj!$A:$A,0))),"")</f>
        <v>10671924/0001-73</v>
      </c>
      <c r="C639" s="5" t="str">
        <f aca="false">IF(B639="","",RIGHT("00000000000000"&amp;SUBSTITUTE(SUBSTITUTE(SUBSTITUTE(SUBSTITUTE(B639,".",""),"/",""),"-","")," ",""),14))</f>
        <v>10671924000173</v>
      </c>
      <c r="D639" s="5" t="str">
        <f aca="false">IF(C639="","",MID(C639,1,2)&amp;"."&amp;MID(C639,3,3)&amp;"."&amp;MID(C639,6,3)&amp;"/"&amp;MID(C639,9,4)&amp;"-"&amp;MID(C639,13,2))</f>
        <v>10.671.924/0001-73</v>
      </c>
      <c r="E639" s="4" t="str">
        <f aca="false">IF(ISNA(MATCH(A639,cnpj!$A:$A,0)),"Lotação não existe na aba cnpj",IF(B639="","Sem CNPJ na aba cnpj","OK"))</f>
        <v>OK</v>
      </c>
    </row>
    <row r="640" customFormat="false" ht="15" hidden="false" customHeight="false" outlineLevel="0" collapsed="false">
      <c r="A640" s="4" t="n">
        <f aca="false">sisgi!A640</f>
        <v>215694</v>
      </c>
      <c r="B640" s="5" t="n">
        <f aca="false">IFERROR(IF(INDEX(cnpj!$B:$B,MATCH(A640,cnpj!$A:$A,0))="","",INDEX(cnpj!$B:$B,MATCH(A640,cnpj!$A:$A,0))),"")</f>
        <v>8145959000127</v>
      </c>
      <c r="C640" s="5" t="str">
        <f aca="false">IF(B640="","",RIGHT("00000000000000"&amp;SUBSTITUTE(SUBSTITUTE(SUBSTITUTE(SUBSTITUTE(B640,".",""),"/",""),"-","")," ",""),14))</f>
        <v>08145959000127</v>
      </c>
      <c r="D640" s="5" t="str">
        <f aca="false">IF(C640="","",MID(C640,1,2)&amp;"."&amp;MID(C640,3,3)&amp;"."&amp;MID(C640,6,3)&amp;"/"&amp;MID(C640,9,4)&amp;"-"&amp;MID(C640,13,2))</f>
        <v>08.145.959/0001-27</v>
      </c>
      <c r="E640" s="4" t="str">
        <f aca="false">IF(ISNA(MATCH(A640,cnpj!$A:$A,0)),"Lotação não existe na aba cnpj",IF(B640="","Sem CNPJ na aba cnpj","OK"))</f>
        <v>OK</v>
      </c>
    </row>
    <row r="641" customFormat="false" ht="15" hidden="false" customHeight="false" outlineLevel="0" collapsed="false">
      <c r="A641" s="4" t="n">
        <f aca="false">sisgi!A641</f>
        <v>215775</v>
      </c>
      <c r="B641" s="5" t="n">
        <f aca="false">IFERROR(IF(INDEX(cnpj!$B:$B,MATCH(A641,cnpj!$A:$A,0))="","",INDEX(cnpj!$B:$B,MATCH(A641,cnpj!$A:$A,0))),"")</f>
        <v>3118597000161</v>
      </c>
      <c r="C641" s="5" t="str">
        <f aca="false">IF(B641="","",RIGHT("00000000000000"&amp;SUBSTITUTE(SUBSTITUTE(SUBSTITUTE(SUBSTITUTE(B641,".",""),"/",""),"-","")," ",""),14))</f>
        <v>03118597000161</v>
      </c>
      <c r="D641" s="5" t="str">
        <f aca="false">IF(C641="","",MID(C641,1,2)&amp;"."&amp;MID(C641,3,3)&amp;"."&amp;MID(C641,6,3)&amp;"/"&amp;MID(C641,9,4)&amp;"-"&amp;MID(C641,13,2))</f>
        <v>03.118.597/0001-61</v>
      </c>
      <c r="E641" s="4" t="str">
        <f aca="false">IF(ISNA(MATCH(A641,cnpj!$A:$A,0)),"Lotação não existe na aba cnpj",IF(B641="","Sem CNPJ na aba cnpj","OK"))</f>
        <v>OK</v>
      </c>
    </row>
    <row r="642" customFormat="false" ht="15" hidden="false" customHeight="false" outlineLevel="0" collapsed="false">
      <c r="A642" s="4" t="n">
        <f aca="false">sisgi!A642</f>
        <v>215856</v>
      </c>
      <c r="B642" s="5" t="n">
        <f aca="false">IFERROR(IF(INDEX(cnpj!$B:$B,MATCH(A642,cnpj!$A:$A,0))="","",INDEX(cnpj!$B:$B,MATCH(A642,cnpj!$A:$A,0))),"")</f>
        <v>3204985000165</v>
      </c>
      <c r="C642" s="5" t="str">
        <f aca="false">IF(B642="","",RIGHT("00000000000000"&amp;SUBSTITUTE(SUBSTITUTE(SUBSTITUTE(SUBSTITUTE(B642,".",""),"/",""),"-","")," ",""),14))</f>
        <v>03204985000165</v>
      </c>
      <c r="D642" s="5" t="str">
        <f aca="false">IF(C642="","",MID(C642,1,2)&amp;"."&amp;MID(C642,3,3)&amp;"."&amp;MID(C642,6,3)&amp;"/"&amp;MID(C642,9,4)&amp;"-"&amp;MID(C642,13,2))</f>
        <v>03.204.985/0001-65</v>
      </c>
      <c r="E642" s="4" t="str">
        <f aca="false">IF(ISNA(MATCH(A642,cnpj!$A:$A,0)),"Lotação não existe na aba cnpj",IF(B642="","Sem CNPJ na aba cnpj","OK"))</f>
        <v>OK</v>
      </c>
    </row>
    <row r="643" customFormat="false" ht="15" hidden="false" customHeight="false" outlineLevel="0" collapsed="false">
      <c r="A643" s="4" t="n">
        <f aca="false">sisgi!A643</f>
        <v>215937</v>
      </c>
      <c r="B643" s="5" t="str">
        <f aca="false">IFERROR(IF(INDEX(cnpj!$B:$B,MATCH(A643,cnpj!$A:$A,0))="","",INDEX(cnpj!$B:$B,MATCH(A643,cnpj!$A:$A,0))),"")</f>
        <v>10.881.545/0001-08</v>
      </c>
      <c r="C643" s="5" t="str">
        <f aca="false">IF(B643="","",RIGHT("00000000000000"&amp;SUBSTITUTE(SUBSTITUTE(SUBSTITUTE(SUBSTITUTE(B643,".",""),"/",""),"-","")," ",""),14))</f>
        <v>10881545000108</v>
      </c>
      <c r="D643" s="5" t="str">
        <f aca="false">IF(C643="","",MID(C643,1,2)&amp;"."&amp;MID(C643,3,3)&amp;"."&amp;MID(C643,6,3)&amp;"/"&amp;MID(C643,9,4)&amp;"-"&amp;MID(C643,13,2))</f>
        <v>10.881.545/0001-08</v>
      </c>
      <c r="E643" s="4" t="str">
        <f aca="false">IF(ISNA(MATCH(A643,cnpj!$A:$A,0)),"Lotação não existe na aba cnpj",IF(B643="","Sem CNPJ na aba cnpj","OK"))</f>
        <v>OK</v>
      </c>
    </row>
    <row r="644" customFormat="false" ht="15" hidden="false" customHeight="false" outlineLevel="0" collapsed="false">
      <c r="A644" s="4" t="n">
        <f aca="false">sisgi!A644</f>
        <v>913278</v>
      </c>
      <c r="B644" s="5" t="str">
        <f aca="false">IFERROR(IF(INDEX(cnpj!$B:$B,MATCH(A644,cnpj!$A:$A,0))="","",INDEX(cnpj!$B:$B,MATCH(A644,cnpj!$A:$A,0))),"")</f>
        <v>03158670/0001 -29</v>
      </c>
      <c r="C644" s="5" t="str">
        <f aca="false">IF(B644="","",RIGHT("00000000000000"&amp;SUBSTITUTE(SUBSTITUTE(SUBSTITUTE(SUBSTITUTE(B644,".",""),"/",""),"-","")," ",""),14))</f>
        <v>03158670000129</v>
      </c>
      <c r="D644" s="5" t="str">
        <f aca="false">IF(C644="","",MID(C644,1,2)&amp;"."&amp;MID(C644,3,3)&amp;"."&amp;MID(C644,6,3)&amp;"/"&amp;MID(C644,9,4)&amp;"-"&amp;MID(C644,13,2))</f>
        <v>03.158.670/0001-29</v>
      </c>
      <c r="E644" s="4" t="str">
        <f aca="false">IF(ISNA(MATCH(A644,cnpj!$A:$A,0)),"Lotação não existe na aba cnpj",IF(B644="","Sem CNPJ na aba cnpj","OK"))</f>
        <v>OK</v>
      </c>
    </row>
    <row r="645" customFormat="false" ht="15" hidden="false" customHeight="false" outlineLevel="0" collapsed="false">
      <c r="A645" s="4" t="n">
        <f aca="false">sisgi!A645</f>
        <v>946079</v>
      </c>
      <c r="B645" s="5" t="str">
        <f aca="false">IFERROR(IF(INDEX(cnpj!$B:$B,MATCH(A645,cnpj!$A:$A,0))="","",INDEX(cnpj!$B:$B,MATCH(A645,cnpj!$A:$A,0))),"")</f>
        <v>66.928.971/0001-04</v>
      </c>
      <c r="C645" s="5" t="str">
        <f aca="false">IF(B645="","",RIGHT("00000000000000"&amp;SUBSTITUTE(SUBSTITUTE(SUBSTITUTE(SUBSTITUTE(B645,".",""),"/",""),"-","")," ",""),14))</f>
        <v>66928971000104</v>
      </c>
      <c r="D645" s="5" t="str">
        <f aca="false">IF(C645="","",MID(C645,1,2)&amp;"."&amp;MID(C645,3,3)&amp;"."&amp;MID(C645,6,3)&amp;"/"&amp;MID(C645,9,4)&amp;"-"&amp;MID(C645,13,2))</f>
        <v>66.928.971/0001-04</v>
      </c>
      <c r="E645" s="4" t="str">
        <f aca="false">IF(ISNA(MATCH(A645,cnpj!$A:$A,0)),"Lotação não existe na aba cnpj",IF(B645="","Sem CNPJ na aba cnpj","OK"))</f>
        <v>OK</v>
      </c>
    </row>
  </sheetData>
  <autoFilter ref="A1:E6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2026-10-01T12:44:23Z</dcterms:created>
  <dc:creator>Francisco Jhony Leal e Silva</dc:creator>
  <dc:description/>
  <dc:language>en-US</dc:language>
  <cp:lastModifiedBy>Francisco Jhony Leal e Silva</cp:lastModifiedBy>
  <dcterms:modified xsi:type="dcterms:W3CDTF">2026-10-01T12:53:42Z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